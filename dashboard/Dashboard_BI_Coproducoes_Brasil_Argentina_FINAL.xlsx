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PORTFOLIO" sheetId="1" state="visible" r:id="rId1"/>
    <sheet xmlns:r="http://schemas.openxmlformats.org/officeDocument/2006/relationships" name="01_Anual" sheetId="2" state="visible" r:id="rId2"/>
    <sheet xmlns:r="http://schemas.openxmlformats.org/officeDocument/2006/relationships" name="02_Paises" sheetId="3" state="visible" r:id="rId3"/>
    <sheet xmlns:r="http://schemas.openxmlformats.org/officeDocument/2006/relationships" name="03_Bilheteria_BR" sheetId="4" state="visible" r:id="rId4"/>
    <sheet xmlns:r="http://schemas.openxmlformats.org/officeDocument/2006/relationships" name="04_Audiencia_AR" sheetId="5" state="visible" r:id="rId5"/>
    <sheet xmlns:r="http://schemas.openxmlformats.org/officeDocument/2006/relationships" name="05_Generos" sheetId="6" state="visible" r:id="rId6"/>
    <sheet xmlns:r="http://schemas.openxmlformats.org/officeDocument/2006/relationships" name="06_Plataformas" sheetId="7" state="visible" r:id="rId7"/>
    <sheet xmlns:r="http://schemas.openxmlformats.org/officeDocument/2006/relationships" name="07_Disponibilidade" sheetId="8" state="visible" r:id="rId8"/>
    <sheet xmlns:r="http://schemas.openxmlformats.org/officeDocument/2006/relationships" name="08_Produtoras_BR" sheetId="9" state="visible" r:id="rId9"/>
    <sheet xmlns:r="http://schemas.openxmlformats.org/officeDocument/2006/relationships" name="09_Produtoras_Estrangeiras" sheetId="10" state="visible" r:id="rId10"/>
    <sheet xmlns:r="http://schemas.openxmlformats.org/officeDocument/2006/relationships" name="README" sheetId="11" state="visible" r:id="rId11"/>
    <sheet xmlns:r="http://schemas.openxmlformats.org/officeDocument/2006/relationships" name="01_Visao_Geral" sheetId="12" state="visible" r:id="rId12"/>
    <sheet xmlns:r="http://schemas.openxmlformats.org/officeDocument/2006/relationships" name="02_Mercado" sheetId="13" state="visible" r:id="rId13"/>
    <sheet xmlns:r="http://schemas.openxmlformats.org/officeDocument/2006/relationships" name="03_Distribuicao" sheetId="14" state="visible" r:id="rId14"/>
    <sheet xmlns:r="http://schemas.openxmlformats.org/officeDocument/2006/relationships" name="04_Generos_Redes" sheetId="15" state="visible" r:id="rId15"/>
    <sheet xmlns:r="http://schemas.openxmlformats.org/officeDocument/2006/relationships" name="05_Insights" sheetId="16" state="visible" r:id="rId16"/>
    <sheet xmlns:r="http://schemas.openxmlformats.org/officeDocument/2006/relationships" name="06_Modelo_Dados" sheetId="17" state="visible" r:id="rId17"/>
  </sheets>
  <definedNames>
    <definedName name="_xlnm._FilterDatabase" localSheetId="1" hidden="1">'01_Anual'!$A$1:$B$11</definedName>
    <definedName name="_xlnm._FilterDatabase" localSheetId="2" hidden="1">'02_Paises'!$A$1:$D$6</definedName>
    <definedName name="_xlnm._FilterDatabase" localSheetId="3" hidden="1">'03_Bilheteria_BR'!$A$1:$F$11</definedName>
    <definedName name="_xlnm._FilterDatabase" localSheetId="4" hidden="1">'04_Audiencia_AR'!$A$1:$B$7</definedName>
    <definedName name="_xlnm._FilterDatabase" localSheetId="5" hidden="1">'05_Generos'!$A$1:$B$17</definedName>
    <definedName name="_xlnm._FilterDatabase" localSheetId="6" hidden="1">'06_Plataformas'!$A$1:$C$12</definedName>
    <definedName name="_xlnm._FilterDatabase" localSheetId="7" hidden="1">'07_Disponibilidade'!$A$1:$B$3</definedName>
    <definedName name="_xlnm._FilterDatabase" localSheetId="8" hidden="1">'08_Produtoras_BR'!$A$1:$B$7</definedName>
    <definedName name="_xlnm._FilterDatabase" localSheetId="9" hidden="1">'09_Produtoras_Estrangeiras'!$A$1:$B$12</definedName>
    <definedName name="_xlnm.Print_Area" localSheetId="11">'01_Visao_Geral'!$A$1:$P$42</definedName>
    <definedName name="_xlnm.Print_Area" localSheetId="12">'02_Mercado'!$A$1:$P$42</definedName>
    <definedName name="_xlnm.Print_Area" localSheetId="13">'03_Distribuicao'!$A$1:$P$42</definedName>
    <definedName name="_xlnm.Print_Area" localSheetId="14">'04_Generos_Redes'!$A$1:$P$42</definedName>
    <definedName name="_xlnm.Print_Area" localSheetId="15">'05_Insights'!$A$1:$P$42</definedName>
    <definedName name="_xlnm.Print_Area" localSheetId="16">'06_Modelo_Dados'!$A$1:$P$42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5B3887"/>
    </font>
    <font>
      <b val="1"/>
      <color rgb="00FFFFFF"/>
      <sz val="20"/>
    </font>
    <font>
      <b val="1"/>
      <color rgb="00BE438B"/>
      <sz val="11"/>
    </font>
    <font>
      <b val="1"/>
      <color rgb="0014192D"/>
      <sz val="18"/>
    </font>
    <font>
      <b val="1"/>
      <color rgb="00BE438B"/>
      <sz val="10"/>
    </font>
    <font>
      <b val="1"/>
      <color rgb="0014192D"/>
      <sz val="11"/>
    </font>
    <font>
      <i val="1"/>
      <color rgb="005F5F6E"/>
      <sz val="8"/>
    </font>
    <font>
      <name val="Aptos"/>
      <b val="1"/>
      <color rgb="00FFFFFF"/>
      <sz val="20"/>
    </font>
    <font>
      <name val="Aptos"/>
      <b val="1"/>
      <color rgb="00BE438B"/>
      <sz val="10"/>
    </font>
    <font>
      <name val="Aptos"/>
      <b val="1"/>
      <color rgb="0014192D"/>
      <sz val="18"/>
    </font>
    <font>
      <name val="Aptos"/>
      <b val="1"/>
      <color rgb="005B3887"/>
      <sz val="11"/>
    </font>
    <font>
      <name val="Aptos"/>
      <b val="1"/>
      <color rgb="0014192D"/>
      <sz val="13"/>
    </font>
    <font>
      <name val="Aptos"/>
      <color rgb="005F5F6E"/>
      <sz val="8"/>
    </font>
    <font>
      <name val="Aptos"/>
      <b val="1"/>
      <color rgb="00BE438B"/>
      <sz val="11"/>
    </font>
    <font>
      <name val="Aptos"/>
      <b val="1"/>
      <color rgb="00FFFFFF"/>
      <sz val="9"/>
    </font>
    <font>
      <name val="Aptos"/>
      <color rgb="0023232D"/>
      <sz val="9"/>
    </font>
    <font>
      <name val="Aptos"/>
      <b val="1"/>
      <color rgb="00BE438B"/>
      <sz val="13"/>
    </font>
    <font>
      <name val="Aptos"/>
      <color rgb="0023232D"/>
      <sz val="10"/>
    </font>
    <font>
      <name val="Aptos"/>
      <b val="1"/>
      <color rgb="00FFFFFF"/>
      <sz val="11"/>
    </font>
    <font>
      <name val="Aptos"/>
      <b val="1"/>
      <color rgb="0014192D"/>
      <sz val="11"/>
    </font>
    <font>
      <name val="Aptos"/>
      <color rgb="0023232D"/>
      <sz val="11"/>
    </font>
    <font>
      <name val="Aptos"/>
      <b val="1"/>
      <color rgb="00BE438B"/>
      <sz val="12"/>
    </font>
    <font>
      <name val="Aptos"/>
      <color rgb="0023232D"/>
      <sz val="12"/>
    </font>
    <font>
      <name val="Aptos"/>
      <b val="1"/>
      <color rgb="00FFFFFF"/>
    </font>
    <font>
      <name val="Aptos"/>
      <color rgb="00646474"/>
      <sz val="8"/>
    </font>
    <font>
      <name val="Aptos"/>
      <b val="1"/>
      <color rgb="0014192D"/>
      <sz val="16"/>
    </font>
    <font>
      <name val="Aptos"/>
      <b val="1"/>
      <color rgb="0014192D"/>
      <sz val="14"/>
    </font>
    <font>
      <name val="Aptos"/>
      <b val="1"/>
      <color rgb="0014192D"/>
      <sz val="12"/>
    </font>
    <font>
      <name val="Aptos Display"/>
      <b val="1"/>
      <color rgb="00FFFFFF"/>
      <sz val="17"/>
    </font>
    <font>
      <name val="Aptos"/>
      <b val="1"/>
      <color rgb="006E4AA3"/>
      <sz val="10"/>
    </font>
    <font>
      <name val="Aptos"/>
      <i val="1"/>
      <color rgb="006B6F7A"/>
      <sz val="8"/>
    </font>
    <font>
      <b val="1"/>
      <color rgb="006E4AA3"/>
      <sz val="8"/>
      <u val="single"/>
    </font>
    <font>
      <name val="Aptos"/>
      <b val="1"/>
      <color rgb="00222533"/>
      <sz val="14"/>
    </font>
    <font>
      <b val="1"/>
      <color rgb="006E4AA3"/>
      <sz val="11"/>
    </font>
    <font>
      <b val="1"/>
      <color rgb="006E4AA3"/>
      <sz val="9"/>
    </font>
    <font>
      <b val="1"/>
      <color rgb="00222533"/>
      <sz val="11"/>
    </font>
    <font>
      <b val="1"/>
      <color rgb="00FFFFFF"/>
      <sz val="9"/>
    </font>
    <font>
      <color rgb="00222533"/>
      <sz val="8"/>
    </font>
    <font>
      <b val="1"/>
      <color rgb="00222533"/>
      <sz val="10"/>
    </font>
    <font>
      <color rgb="00222533"/>
      <sz val="10"/>
    </font>
    <font>
      <color rgb="00222533"/>
      <sz val="9"/>
    </font>
    <font>
      <name val="Aptos"/>
      <color rgb="00222533"/>
      <sz val="10"/>
    </font>
    <font>
      <b val="1"/>
      <color rgb="006E4AA3"/>
      <sz val="10"/>
    </font>
    <font>
      <i val="1"/>
      <color rgb="006B6F7A"/>
      <sz val="8"/>
    </font>
    <font>
      <b val="1"/>
      <color rgb="00222533"/>
      <sz val="14"/>
    </font>
  </fonts>
  <fills count="10">
    <fill>
      <patternFill/>
    </fill>
    <fill>
      <patternFill patternType="gray125"/>
    </fill>
    <fill>
      <patternFill patternType="solid">
        <fgColor rgb="0014192D"/>
      </patternFill>
    </fill>
    <fill>
      <patternFill patternType="solid">
        <fgColor rgb="00FFFFFF"/>
      </patternFill>
    </fill>
    <fill>
      <patternFill patternType="solid">
        <fgColor rgb="00ECE6F5"/>
      </patternFill>
    </fill>
    <fill>
      <patternFill patternType="solid">
        <fgColor rgb="005B3887"/>
      </patternFill>
    </fill>
    <fill>
      <patternFill patternType="solid">
        <fgColor rgb="00BE438B"/>
      </patternFill>
    </fill>
    <fill>
      <patternFill patternType="solid">
        <fgColor rgb="00171B32"/>
      </patternFill>
    </fill>
    <fill>
      <patternFill patternType="solid">
        <fgColor rgb="00F6F5F8"/>
      </patternFill>
    </fill>
    <fill>
      <patternFill patternType="solid">
        <fgColor rgb="00EEE9F6"/>
      </patternFill>
    </fill>
  </fills>
  <borders count="38">
    <border>
      <left/>
      <right/>
      <top/>
      <bottom/>
      <diagonal/>
    </border>
    <border>
      <left style="thin">
        <color rgb="00E6E6EC"/>
      </left>
      <right style="thin">
        <color rgb="00E6E6EC"/>
      </right>
      <top style="thin">
        <color rgb="00E6E6EC"/>
      </top>
      <bottom style="thin">
        <color rgb="00E6E6EC"/>
      </bottom>
    </border>
    <border>
      <left/>
      <right/>
      <top style="thin">
        <color rgb="00E6E6EC"/>
      </top>
      <bottom/>
      <diagonal/>
    </border>
    <border>
      <left style="thin">
        <color rgb="00E6E6EC"/>
      </left>
      <right/>
      <top/>
      <bottom/>
      <diagonal/>
    </border>
    <border>
      <left/>
      <right style="thin">
        <color rgb="00E6E6EC"/>
      </right>
      <top style="thin">
        <color rgb="00E6E6EC"/>
      </top>
      <bottom/>
      <diagonal/>
    </border>
    <border>
      <left/>
      <right style="thin">
        <color rgb="00E6E6EC"/>
      </right>
      <top/>
      <bottom/>
      <diagonal/>
    </border>
    <border>
      <left style="thin">
        <color rgb="00E6E6EC"/>
      </left>
      <right/>
      <top/>
      <bottom style="thin">
        <color rgb="00E6E6EC"/>
      </bottom>
      <diagonal/>
    </border>
    <border>
      <left/>
      <right/>
      <top/>
      <bottom style="thin">
        <color rgb="00E6E6EC"/>
      </bottom>
      <diagonal/>
    </border>
    <border>
      <left/>
      <right style="thin">
        <color rgb="00E6E6EC"/>
      </right>
      <top/>
      <bottom style="thin">
        <color rgb="00E6E6EC"/>
      </bottom>
      <diagonal/>
    </border>
    <border>
      <left style="thin">
        <color rgb="00E3E3EA"/>
      </left>
      <right style="thin">
        <color rgb="00E3E3EA"/>
      </right>
      <top style="thin">
        <color rgb="00E3E3EA"/>
      </top>
      <bottom style="thin">
        <color rgb="00E3E3EA"/>
      </bottom>
    </border>
    <border>
      <left/>
      <right/>
      <top style="thin">
        <color rgb="00E3E3EA"/>
      </top>
      <bottom/>
      <diagonal/>
    </border>
    <border>
      <left style="thin">
        <color rgb="00E3E3EA"/>
      </left>
      <right/>
      <top/>
      <bottom/>
      <diagonal/>
    </border>
    <border>
      <left/>
      <right style="thin">
        <color rgb="00E3E3EA"/>
      </right>
      <top style="thin">
        <color rgb="00E3E3EA"/>
      </top>
      <bottom/>
      <diagonal/>
    </border>
    <border>
      <left/>
      <right style="thin">
        <color rgb="00E3E3EA"/>
      </right>
      <top/>
      <bottom/>
      <diagonal/>
    </border>
    <border>
      <left style="thin">
        <color rgb="00E3E3EA"/>
      </left>
      <right/>
      <top/>
      <bottom style="thin">
        <color rgb="00E3E3EA"/>
      </bottom>
      <diagonal/>
    </border>
    <border>
      <left/>
      <right/>
      <top/>
      <bottom style="thin">
        <color rgb="00E3E3EA"/>
      </bottom>
      <diagonal/>
    </border>
    <border>
      <left/>
      <right style="thin">
        <color rgb="00E3E3EA"/>
      </right>
      <top/>
      <bottom style="thin">
        <color rgb="00E3E3EA"/>
      </bottom>
      <diagonal/>
    </border>
    <border>
      <left style="thin">
        <color rgb="00D9D5E2"/>
      </left>
      <right style="thin">
        <color rgb="00D9D5E2"/>
      </right>
      <top style="thin">
        <color rgb="00D9D5E2"/>
      </top>
      <bottom style="thin">
        <color rgb="00D9D5E2"/>
      </bottom>
    </border>
    <border>
      <left style="thin">
        <color rgb="00D9D5E2"/>
      </left>
      <right style="thin">
        <color rgb="00D9D5E2"/>
      </right>
      <top style="medium">
        <color rgb="006E4AA3"/>
      </top>
      <bottom style="thin">
        <color rgb="00D9D5E2"/>
      </bottom>
    </border>
    <border>
      <left style="thin">
        <color rgb="00D9D5E2"/>
      </left>
      <right style="thin">
        <color rgb="00D9D5E2"/>
      </right>
      <top style="medium">
        <color rgb="00C94A8C"/>
      </top>
      <bottom style="thin">
        <color rgb="00D9D5E2"/>
      </bottom>
    </border>
    <border>
      <left style="thin">
        <color rgb="00D9D5E2"/>
      </left>
      <right style="thin">
        <color rgb="00D9D5E2"/>
      </right>
      <top style="medium">
        <color rgb="00B7863B"/>
      </top>
      <bottom style="thin">
        <color rgb="00D9D5E2"/>
      </bottom>
    </border>
    <border>
      <left style="thin">
        <color rgb="00D9D5E2"/>
      </left>
      <right style="thin">
        <color rgb="00D9D5E2"/>
      </right>
      <top style="medium">
        <color rgb="005E8B73"/>
      </top>
      <bottom style="thin">
        <color rgb="00D9D5E2"/>
      </bottom>
    </border>
    <border>
      <left/>
      <right/>
      <top style="medium">
        <color rgb="006E4AA3"/>
      </top>
      <bottom/>
      <diagonal/>
    </border>
    <border>
      <left style="thin">
        <color rgb="00D9D5E2"/>
      </left>
      <right/>
      <top/>
      <bottom/>
      <diagonal/>
    </border>
    <border>
      <left/>
      <right style="thin">
        <color rgb="00D9D5E2"/>
      </right>
      <top style="medium">
        <color rgb="006E4AA3"/>
      </top>
      <bottom/>
      <diagonal/>
    </border>
    <border>
      <left/>
      <right style="thin">
        <color rgb="00D9D5E2"/>
      </right>
      <top/>
      <bottom/>
      <diagonal/>
    </border>
    <border>
      <left style="thin">
        <color rgb="00D9D5E2"/>
      </left>
      <right/>
      <top/>
      <bottom style="thin">
        <color rgb="00D9D5E2"/>
      </bottom>
      <diagonal/>
    </border>
    <border>
      <left/>
      <right/>
      <top/>
      <bottom style="thin">
        <color rgb="00D9D5E2"/>
      </bottom>
      <diagonal/>
    </border>
    <border>
      <left/>
      <right style="thin">
        <color rgb="00D9D5E2"/>
      </right>
      <top/>
      <bottom style="thin">
        <color rgb="00D9D5E2"/>
      </bottom>
      <diagonal/>
    </border>
    <border>
      <left/>
      <right/>
      <top style="medium">
        <color rgb="00B7863B"/>
      </top>
      <bottom/>
      <diagonal/>
    </border>
    <border>
      <left/>
      <right style="thin">
        <color rgb="00D9D5E2"/>
      </right>
      <top style="medium">
        <color rgb="00B7863B"/>
      </top>
      <bottom/>
      <diagonal/>
    </border>
    <border>
      <left/>
      <right/>
      <top style="medium">
        <color rgb="00C94A8C"/>
      </top>
      <bottom/>
      <diagonal/>
    </border>
    <border>
      <left/>
      <right style="thin">
        <color rgb="00D9D5E2"/>
      </right>
      <top style="medium">
        <color rgb="00C94A8C"/>
      </top>
      <bottom/>
      <diagonal/>
    </border>
    <border>
      <left/>
      <right/>
      <top style="medium">
        <color rgb="005E8B73"/>
      </top>
      <bottom/>
      <diagonal/>
    </border>
    <border>
      <left/>
      <right style="thin">
        <color rgb="00D9D5E2"/>
      </right>
      <top style="medium">
        <color rgb="005E8B73"/>
      </top>
      <bottom/>
      <diagonal/>
    </border>
    <border>
      <left/>
      <right/>
      <top style="thin">
        <color rgb="00D9D5E2"/>
      </top>
      <bottom/>
      <diagonal/>
    </border>
    <border>
      <left/>
      <right style="thin">
        <color rgb="00D9D5E2"/>
      </right>
      <top style="thin">
        <color rgb="00D9D5E2"/>
      </top>
      <bottom/>
      <diagonal/>
    </border>
    <border/>
  </borders>
  <cellStyleXfs count="1">
    <xf numFmtId="0" fontId="0" fillId="0" borderId="0"/>
  </cellStyleXfs>
  <cellXfs count="109"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26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4" fontId="18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6" fillId="2" borderId="1" applyAlignment="1" pivotButton="0" quotePrefix="0" xfId="0">
      <alignment horizontal="center"/>
    </xf>
    <xf numFmtId="0" fontId="0" fillId="0" borderId="9" pivotButton="0" quotePrefix="0" xfId="0"/>
    <xf numFmtId="164" fontId="0" fillId="0" borderId="9" pivotButton="0" quotePrefix="0" xfId="0"/>
    <xf numFmtId="0" fontId="28" fillId="3" borderId="9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18" fillId="0" borderId="9" applyAlignment="1" pivotButton="0" quotePrefix="0" xfId="0">
      <alignment horizontal="left" vertical="center" wrapText="1"/>
    </xf>
    <xf numFmtId="164" fontId="18" fillId="0" borderId="9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center" vertical="center" wrapText="1"/>
    </xf>
    <xf numFmtId="0" fontId="30" fillId="3" borderId="9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center"/>
    </xf>
    <xf numFmtId="0" fontId="43" fillId="8" borderId="9" pivotButton="0" quotePrefix="0" xfId="0"/>
    <xf numFmtId="0" fontId="43" fillId="0" borderId="9" pivotButton="0" quotePrefix="0" xfId="0"/>
    <xf numFmtId="164" fontId="43" fillId="8" borderId="9" pivotButton="0" quotePrefix="0" xfId="0"/>
    <xf numFmtId="164" fontId="43" fillId="0" borderId="9" pivotButton="0" quotePrefix="0" xfId="0"/>
    <xf numFmtId="0" fontId="31" fillId="7" borderId="0" applyAlignment="1" pivotButton="0" quotePrefix="0" xfId="0">
      <alignment vertical="center"/>
    </xf>
    <xf numFmtId="0" fontId="0" fillId="7" borderId="0" pivotButton="0" quotePrefix="0" xfId="0"/>
    <xf numFmtId="0" fontId="34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left" vertical="center" wrapText="1"/>
    </xf>
    <xf numFmtId="0" fontId="35" fillId="3" borderId="18" applyAlignment="1" pivotButton="0" quotePrefix="0" xfId="0">
      <alignment horizontal="center" vertical="center" wrapText="1"/>
    </xf>
    <xf numFmtId="0" fontId="0" fillId="3" borderId="18" pivotButton="0" quotePrefix="0" xfId="0"/>
    <xf numFmtId="0" fontId="35" fillId="3" borderId="19" applyAlignment="1" pivotButton="0" quotePrefix="0" xfId="0">
      <alignment horizontal="center" vertical="center" wrapText="1"/>
    </xf>
    <xf numFmtId="0" fontId="0" fillId="3" borderId="19" pivotButton="0" quotePrefix="0" xfId="0"/>
    <xf numFmtId="0" fontId="35" fillId="3" borderId="20" applyAlignment="1" pivotButton="0" quotePrefix="0" xfId="0">
      <alignment horizontal="center" vertical="center" wrapText="1"/>
    </xf>
    <xf numFmtId="0" fontId="0" fillId="3" borderId="20" pivotButton="0" quotePrefix="0" xfId="0"/>
    <xf numFmtId="0" fontId="0" fillId="3" borderId="17" pivotButton="0" quotePrefix="0" xfId="0"/>
    <xf numFmtId="0" fontId="36" fillId="4" borderId="0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left" vertical="center" wrapText="1"/>
    </xf>
    <xf numFmtId="0" fontId="38" fillId="0" borderId="0" applyAlignment="1" pivotButton="0" quotePrefix="0" xfId="0">
      <alignment wrapText="1"/>
    </xf>
    <xf numFmtId="0" fontId="33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left" vertical="center" wrapText="1"/>
    </xf>
    <xf numFmtId="0" fontId="39" fillId="7" borderId="17" applyAlignment="1" pivotButton="0" quotePrefix="0" xfId="0">
      <alignment horizontal="center" vertical="center" wrapText="1"/>
    </xf>
    <xf numFmtId="0" fontId="40" fillId="8" borderId="17" applyAlignment="1" pivotButton="0" quotePrefix="0" xfId="0">
      <alignment vertical="center" wrapText="1"/>
    </xf>
    <xf numFmtId="164" fontId="40" fillId="8" borderId="17" applyAlignment="1" pivotButton="0" quotePrefix="0" xfId="0">
      <alignment vertical="center" wrapText="1"/>
    </xf>
    <xf numFmtId="0" fontId="40" fillId="0" borderId="17" applyAlignment="1" pivotButton="0" quotePrefix="0" xfId="0">
      <alignment vertical="center" wrapText="1"/>
    </xf>
    <xf numFmtId="164" fontId="40" fillId="0" borderId="17" applyAlignment="1" pivotButton="0" quotePrefix="0" xfId="0">
      <alignment vertical="center" wrapText="1"/>
    </xf>
    <xf numFmtId="0" fontId="35" fillId="3" borderId="21" applyAlignment="1" pivotButton="0" quotePrefix="0" xfId="0">
      <alignment horizontal="center" vertical="center" wrapText="1"/>
    </xf>
    <xf numFmtId="0" fontId="0" fillId="3" borderId="21" pivotButton="0" quotePrefix="0" xfId="0"/>
    <xf numFmtId="0" fontId="38" fillId="0" borderId="0" applyAlignment="1" pivotButton="0" quotePrefix="0" xfId="0">
      <alignment vertical="center" wrapText="1"/>
    </xf>
    <xf numFmtId="0" fontId="41" fillId="3" borderId="17" applyAlignment="1" pivotButton="0" quotePrefix="0" xfId="0">
      <alignment vertical="center" wrapText="1"/>
    </xf>
    <xf numFmtId="0" fontId="0" fillId="0" borderId="17" pivotButton="0" quotePrefix="0" xfId="0"/>
    <xf numFmtId="0" fontId="42" fillId="0" borderId="0" applyAlignment="1" pivotButton="0" quotePrefix="0" xfId="0">
      <alignment vertical="center" wrapText="1"/>
    </xf>
    <xf numFmtId="0" fontId="41" fillId="9" borderId="17" applyAlignment="1" pivotButton="0" quotePrefix="0" xfId="0">
      <alignment horizontal="center" vertical="center" wrapText="1"/>
    </xf>
    <xf numFmtId="0" fontId="41" fillId="4" borderId="0" applyAlignment="1" pivotButton="0" quotePrefix="0" xfId="0">
      <alignment vertical="center" wrapText="1"/>
    </xf>
    <xf numFmtId="0" fontId="36" fillId="0" borderId="0" pivotButton="0" quotePrefix="0" xfId="0"/>
    <xf numFmtId="0" fontId="41" fillId="3" borderId="1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1" fillId="7" borderId="37" applyAlignment="1" pivotButton="0" quotePrefix="0" xfId="0">
      <alignment vertical="center"/>
    </xf>
    <xf numFmtId="0" fontId="34" fillId="0" borderId="37" applyAlignment="1" pivotButton="0" quotePrefix="0" xfId="0">
      <alignment horizontal="center"/>
    </xf>
    <xf numFmtId="0" fontId="44" fillId="0" borderId="37" pivotButton="0" quotePrefix="0" xfId="0"/>
    <xf numFmtId="0" fontId="45" fillId="0" borderId="37" pivotButton="0" quotePrefix="0" xfId="0"/>
    <xf numFmtId="0" fontId="47" fillId="3" borderId="18" applyAlignment="1" pivotButton="0" quotePrefix="0" xfId="0">
      <alignment horizontal="center" vertical="center" wrapText="1"/>
    </xf>
    <xf numFmtId="0" fontId="47" fillId="3" borderId="19" applyAlignment="1" pivotButton="0" quotePrefix="0" xfId="0">
      <alignment horizontal="center" vertical="center" wrapText="1"/>
    </xf>
    <xf numFmtId="0" fontId="47" fillId="3" borderId="20" applyAlignment="1" pivotButton="0" quotePrefix="0" xfId="0">
      <alignment horizontal="center" vertical="center" wrapText="1"/>
    </xf>
    <xf numFmtId="0" fontId="36" fillId="0" borderId="37" pivotButton="0" quotePrefix="0" xfId="0"/>
    <xf numFmtId="0" fontId="37" fillId="0" borderId="37" pivotButton="0" quotePrefix="0" xfId="0"/>
    <xf numFmtId="0" fontId="38" fillId="0" borderId="37" pivotButton="0" quotePrefix="0" xfId="0"/>
    <xf numFmtId="0" fontId="46" fillId="0" borderId="37" applyAlignment="1" pivotButton="0" quotePrefix="0" xfId="0">
      <alignment vertical="center" wrapText="1"/>
    </xf>
    <xf numFmtId="0" fontId="47" fillId="3" borderId="21" applyAlignment="1" pivotButton="0" quotePrefix="0" xfId="0">
      <alignment horizontal="center" vertical="center" wrapText="1"/>
    </xf>
    <xf numFmtId="0" fontId="38" fillId="0" borderId="37" applyAlignment="1" pivotButton="0" quotePrefix="0" xfId="0">
      <alignment vertical="center" wrapText="1"/>
    </xf>
    <xf numFmtId="0" fontId="42" fillId="0" borderId="37" applyAlignment="1" pivotButton="0" quotePrefix="0" xfId="0">
      <alignment vertical="center" wrapText="1"/>
    </xf>
    <xf numFmtId="0" fontId="41" fillId="0" borderId="37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anual das coproduções</a:t>
            </a:r>
          </a:p>
        </rich>
      </tx>
    </title>
    <plotArea>
      <lineChart>
        <grouping val="standard"/>
        <ser>
          <idx val="0"/>
          <order val="0"/>
          <tx>
            <strRef>
              <f>'01_Anual'!B1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'01_Anual'!$A$2:$A$11</f>
            </numRef>
          </cat>
          <val>
            <numRef>
              <f>'01_Anual'!$B$2:$B$11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Coproduções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Perfil das coproduções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'01_Visao_Geral'!B44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'01_Visao_Geral'!$A$45:$A$46</f>
            </numRef>
          </cat>
          <val>
            <numRef>
              <f>'01_Visao_Geral'!$B$45:$B$46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— público no Brasil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'02_Mercado'!E27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'02_Mercado'!$B$28:$B$37</f>
            </numRef>
          </cat>
          <val>
            <numRef>
              <f>'02_Mercado'!$E$28:$E$37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Público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Audiência brasileira de filmes argentinos</a:t>
            </a:r>
          </a:p>
        </rich>
      </tx>
    </title>
    <plotArea>
      <lineChart>
        <grouping val="standard"/>
        <ser>
          <idx val="0"/>
          <order val="0"/>
          <tx>
            <strRef>
              <f>'04_Audiencia_AR'!B1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'04_Audiencia_AR'!$A$2:$A$7</f>
            </numRef>
          </cat>
          <val>
            <numRef>
              <f>'04_Audiencia_AR'!$B$2:$B$7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Espectadores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Disponibilidade identificada</a:t>
            </a:r>
          </a:p>
        </rich>
      </tx>
    </title>
    <plotArea>
      <doughnutChart>
        <varyColors val="1"/>
        <ser>
          <idx val="0"/>
          <order val="0"/>
          <tx>
            <strRef>
              <f>'07_Disponibilidade'!B1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'07_Disponibilidade'!$A$2:$A$3</f>
            </numRef>
          </cat>
          <val>
            <numRef>
              <f>'07_Disponibilidade'!$B$2:$B$3</f>
            </numRef>
          </val>
        </ser>
        <dLbls>
          <showPercent val="1"/>
        </dLbls>
        <firstSliceAng val="0"/>
        <holeSize val="62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Títulos identificados por plataforma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'03_Distribuicao'!K12</f>
            </strRef>
          </tx>
          <spPr>
            <a:ln xmlns:a="http://schemas.openxmlformats.org/drawingml/2006/main">
              <a:prstDash val="solid"/>
            </a:ln>
          </spPr>
          <cat>
            <numRef>
              <f>'03_Distribuicao'!$J$13:$J$23</f>
            </numRef>
          </cat>
          <val>
            <numRef>
              <f>'03_Distribuicao'!$K$13:$K$23</f>
            </numRef>
          </val>
        </ser>
        <ser>
          <idx val="1"/>
          <order val="1"/>
          <tx>
            <strRef>
              <f>'03_Distribuicao'!L12</f>
            </strRef>
          </tx>
          <spPr>
            <a:ln xmlns:a="http://schemas.openxmlformats.org/drawingml/2006/main">
              <a:prstDash val="solid"/>
            </a:ln>
          </spPr>
          <cat>
            <numRef>
              <f>'03_Distribuicao'!$J$13:$J$23</f>
            </numRef>
          </cat>
          <val>
            <numRef>
              <f>'03_Distribuicao'!$L$13:$L$23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Principais gêneros — classificação da pesquisa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'05_Generos'!B1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'05_Generos'!$A$2:$A$6</f>
            </numRef>
          </cat>
          <val>
            <numRef>
              <f>'05_Generos'!$B$2:$B$6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Produtoras brasileiras — recorrência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'08_Produtoras_BR'!B1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'08_Produtoras_BR'!$A$2:$A$7</f>
            </numRef>
          </cat>
          <val>
            <numRef>
              <f>'08_Produtoras_BR'!$B$2:$B$7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5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48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5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48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48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52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55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48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01_Anual" displayName="T_01_Anual" ref="A1:B11" headerRowCount="1">
  <autoFilter ref="A1:B11"/>
  <tableColumns count="2">
    <tableColumn id="1" name="Ano"/>
    <tableColumn id="2" name="Coproduçõ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02_Paises" displayName="T_02_Paises" ref="A1:D6" headerRowCount="1">
  <autoFilter ref="A1:D6"/>
  <tableColumns count="4">
    <tableColumn id="1" name="País coprodutor"/>
    <tableColumn id="2" name="Majoritária"/>
    <tableColumn id="3" name="Minoritária"/>
    <tableColumn id="4" name="Tota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03_Bilheteria_BR" displayName="T_03_Bilheteria_BR" ref="A1:F11" headerRowCount="1">
  <autoFilter ref="A1:F11"/>
  <tableColumns count="6">
    <tableColumn id="1" name="Ano"/>
    <tableColumn id="2" name="Título"/>
    <tableColumn id="3" name="Salas lançamento"/>
    <tableColumn id="4" name="Máx. salas"/>
    <tableColumn id="5" name="Público"/>
    <tableColumn id="6" name="Renda (R$)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04_Audiencia_AR" displayName="T_04_Audiencia_AR" ref="A1:B7" headerRowCount="1">
  <autoFilter ref="A1:B7"/>
  <tableColumns count="2">
    <tableColumn id="1" name="Ano"/>
    <tableColumn id="2" name="Espectadores brasileiros de filmes argentino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05_Generos" displayName="T_05_Generos" ref="A1:B17" headerRowCount="1">
  <autoFilter ref="A1:B17"/>
  <tableColumns count="2">
    <tableColumn id="1" name="Gênero (pesquisa)"/>
    <tableColumn id="2" name="Percentual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06_Plataformas" displayName="T_06_Plataformas" ref="A1:C12" headerRowCount="1">
  <autoFilter ref="A1:C12"/>
  <tableColumns count="3">
    <tableColumn id="1" name="Plataforma"/>
    <tableColumn id="2" name="Modalidade"/>
    <tableColumn id="3" name="Título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07_Disponibilidade" displayName="T_07_Disponibilidade" ref="A1:B3" headerRowCount="1">
  <autoFilter ref="A1:B3"/>
  <tableColumns count="2">
    <tableColumn id="1" name="Status"/>
    <tableColumn id="2" name="Título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08_Produtoras_BR" displayName="T_08_Produtoras_BR" ref="A1:B7" headerRowCount="1">
  <autoFilter ref="A1:B7"/>
  <tableColumns count="2">
    <tableColumn id="1" name="Produtora"/>
    <tableColumn id="2" name="Coproduçõe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09_Produtoras_Estrangeiras" displayName="T_09_Produtoras_Estrangeiras" ref="A1:B12" headerRowCount="1">
  <autoFilter ref="A1:B12"/>
  <tableColumns count="2">
    <tableColumn id="1" name="Produtora"/>
    <tableColumn id="2" name="Coproduçõ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1_Visao_Geral'!A1" TargetMode="External" Id="rId1"/><Relationship Type="http://schemas.openxmlformats.org/officeDocument/2006/relationships/hyperlink" Target="#'02_Mercado'!A1" TargetMode="External" Id="rId2"/><Relationship Type="http://schemas.openxmlformats.org/officeDocument/2006/relationships/hyperlink" Target="#'03_Distribuicao'!A1" TargetMode="External" Id="rId3"/><Relationship Type="http://schemas.openxmlformats.org/officeDocument/2006/relationships/hyperlink" Target="#'04_Generos_Redes'!A1" TargetMode="External" Id="rId4"/><Relationship Type="http://schemas.openxmlformats.org/officeDocument/2006/relationships/hyperlink" Target="#'05_Insights'!A1" TargetMode="External" Id="rId5"/><Relationship Type="http://schemas.openxmlformats.org/officeDocument/2006/relationships/hyperlink" Target="#'06_Modelo_Dados'!A1" TargetMode="External" Id="rId6"/><Relationship Type="http://schemas.openxmlformats.org/officeDocument/2006/relationships/drawing" Target="/xl/drawings/drawing1.xml" Id="rId7"/></Relationships>
</file>

<file path=xl/worksheets/_rels/sheet13.xml.rels><Relationships xmlns="http://schemas.openxmlformats.org/package/2006/relationships"><Relationship Type="http://schemas.openxmlformats.org/officeDocument/2006/relationships/hyperlink" Target="#'01_Visao_Geral'!A1" TargetMode="External" Id="rId1"/><Relationship Type="http://schemas.openxmlformats.org/officeDocument/2006/relationships/hyperlink" Target="#'02_Mercado'!A1" TargetMode="External" Id="rId2"/><Relationship Type="http://schemas.openxmlformats.org/officeDocument/2006/relationships/hyperlink" Target="#'03_Distribuicao'!A1" TargetMode="External" Id="rId3"/><Relationship Type="http://schemas.openxmlformats.org/officeDocument/2006/relationships/hyperlink" Target="#'04_Generos_Redes'!A1" TargetMode="External" Id="rId4"/><Relationship Type="http://schemas.openxmlformats.org/officeDocument/2006/relationships/hyperlink" Target="#'05_Insights'!A1" TargetMode="External" Id="rId5"/><Relationship Type="http://schemas.openxmlformats.org/officeDocument/2006/relationships/hyperlink" Target="#'06_Modelo_Dados'!A1" TargetMode="External" Id="rId6"/><Relationship Type="http://schemas.openxmlformats.org/officeDocument/2006/relationships/drawing" Target="/xl/drawings/drawing2.xml" Id="rId7"/></Relationships>
</file>

<file path=xl/worksheets/_rels/sheet14.xml.rels><Relationships xmlns="http://schemas.openxmlformats.org/package/2006/relationships"><Relationship Type="http://schemas.openxmlformats.org/officeDocument/2006/relationships/hyperlink" Target="#'01_Visao_Geral'!A1" TargetMode="External" Id="rId1"/><Relationship Type="http://schemas.openxmlformats.org/officeDocument/2006/relationships/hyperlink" Target="#'02_Mercado'!A1" TargetMode="External" Id="rId2"/><Relationship Type="http://schemas.openxmlformats.org/officeDocument/2006/relationships/hyperlink" Target="#'03_Distribuicao'!A1" TargetMode="External" Id="rId3"/><Relationship Type="http://schemas.openxmlformats.org/officeDocument/2006/relationships/hyperlink" Target="#'04_Generos_Redes'!A1" TargetMode="External" Id="rId4"/><Relationship Type="http://schemas.openxmlformats.org/officeDocument/2006/relationships/hyperlink" Target="#'05_Insights'!A1" TargetMode="External" Id="rId5"/><Relationship Type="http://schemas.openxmlformats.org/officeDocument/2006/relationships/hyperlink" Target="#'06_Modelo_Dados'!A1" TargetMode="External" Id="rId6"/><Relationship Type="http://schemas.openxmlformats.org/officeDocument/2006/relationships/drawing" Target="/xl/drawings/drawing3.xml" Id="rId7"/></Relationships>
</file>

<file path=xl/worksheets/_rels/sheet15.xml.rels><Relationships xmlns="http://schemas.openxmlformats.org/package/2006/relationships"><Relationship Type="http://schemas.openxmlformats.org/officeDocument/2006/relationships/hyperlink" Target="#'01_Visao_Geral'!A1" TargetMode="External" Id="rId1"/><Relationship Type="http://schemas.openxmlformats.org/officeDocument/2006/relationships/hyperlink" Target="#'02_Mercado'!A1" TargetMode="External" Id="rId2"/><Relationship Type="http://schemas.openxmlformats.org/officeDocument/2006/relationships/hyperlink" Target="#'03_Distribuicao'!A1" TargetMode="External" Id="rId3"/><Relationship Type="http://schemas.openxmlformats.org/officeDocument/2006/relationships/hyperlink" Target="#'04_Generos_Redes'!A1" TargetMode="External" Id="rId4"/><Relationship Type="http://schemas.openxmlformats.org/officeDocument/2006/relationships/hyperlink" Target="#'05_Insights'!A1" TargetMode="External" Id="rId5"/><Relationship Type="http://schemas.openxmlformats.org/officeDocument/2006/relationships/hyperlink" Target="#'06_Modelo_Dados'!A1" TargetMode="External" Id="rId6"/><Relationship Type="http://schemas.openxmlformats.org/officeDocument/2006/relationships/drawing" Target="/xl/drawings/drawing4.xml" Id="rId7"/></Relationships>
</file>

<file path=xl/worksheets/_rels/sheet16.xml.rels><Relationships xmlns="http://schemas.openxmlformats.org/package/2006/relationships"><Relationship Type="http://schemas.openxmlformats.org/officeDocument/2006/relationships/hyperlink" Target="#'01_Visao_Geral'!A1" TargetMode="External" Id="rId1"/><Relationship Type="http://schemas.openxmlformats.org/officeDocument/2006/relationships/hyperlink" Target="#'02_Mercado'!A1" TargetMode="External" Id="rId2"/><Relationship Type="http://schemas.openxmlformats.org/officeDocument/2006/relationships/hyperlink" Target="#'03_Distribuicao'!A1" TargetMode="External" Id="rId3"/><Relationship Type="http://schemas.openxmlformats.org/officeDocument/2006/relationships/hyperlink" Target="#'04_Generos_Redes'!A1" TargetMode="External" Id="rId4"/><Relationship Type="http://schemas.openxmlformats.org/officeDocument/2006/relationships/hyperlink" Target="#'05_Insights'!A1" TargetMode="External" Id="rId5"/><Relationship Type="http://schemas.openxmlformats.org/officeDocument/2006/relationships/hyperlink" Target="#'06_Modelo_Dados'!A1" TargetMode="External" Id="rId6"/></Relationships>
</file>

<file path=xl/worksheets/_rels/sheet17.xml.rels><Relationships xmlns="http://schemas.openxmlformats.org/package/2006/relationships"><Relationship Type="http://schemas.openxmlformats.org/officeDocument/2006/relationships/hyperlink" Target="#'01_Visao_Geral'!A1" TargetMode="External" Id="rId1"/><Relationship Type="http://schemas.openxmlformats.org/officeDocument/2006/relationships/hyperlink" Target="#'02_Mercado'!A1" TargetMode="External" Id="rId2"/><Relationship Type="http://schemas.openxmlformats.org/officeDocument/2006/relationships/hyperlink" Target="#'03_Distribuicao'!A1" TargetMode="External" Id="rId3"/><Relationship Type="http://schemas.openxmlformats.org/officeDocument/2006/relationships/hyperlink" Target="#'04_Generos_Redes'!A1" TargetMode="External" Id="rId4"/><Relationship Type="http://schemas.openxmlformats.org/officeDocument/2006/relationships/hyperlink" Target="#'05_Insights'!A1" TargetMode="External" Id="rId5"/><Relationship Type="http://schemas.openxmlformats.org/officeDocument/2006/relationships/hyperlink" Target="#'06_Modelo_Dados'!A1" TargetMode="External" Id="rId6"/></Relationships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P5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1" customHeight="1">
      <c r="A1" s="13" t="inlineStr">
        <is>
          <t>PROJETO DE PORTFÓLIO BI | COPRODUÇÕES BRASIL–ARGENTINA</t>
        </is>
      </c>
    </row>
    <row r="2" ht="21" customHeight="1"/>
    <row r="3" ht="21" customHeight="1">
      <c r="A3" s="14" t="inlineStr">
        <is>
          <t>Documentação do case • origem, perguntas, indicadores, limitações e estrutura analítica</t>
        </is>
      </c>
    </row>
    <row r="4" ht="21" customHeight="1"/>
    <row r="5" ht="21" customHeight="1">
      <c r="A5" s="14" t="inlineStr">
        <is>
          <t>OBJETIVO</t>
        </is>
      </c>
      <c r="D5" s="30" t="inlineStr">
        <is>
          <t>Transformar o levantamento realizado no TCC em um produto analítico para explorar produção, mercado, circulação digital, gêneros e redes de produção.</t>
        </is>
      </c>
    </row>
    <row r="6" ht="21" customHeight="1">
      <c r="A6" s="14" t="inlineStr">
        <is>
          <t>RECORTE</t>
        </is>
      </c>
      <c r="D6" s="30" t="inlineStr">
        <is>
          <t>Coproduções cinematográficas Brasil–Argentina realizadas entre 2012 e 2021.</t>
        </is>
      </c>
    </row>
    <row r="7" ht="21" customHeight="1">
      <c r="A7" s="14" t="inlineStr">
        <is>
          <t>CORPUS</t>
        </is>
      </c>
      <c r="D7" s="30" t="inlineStr">
        <is>
          <t>53 coproduções; 17 majoritárias e 36 minoritárias.</t>
        </is>
      </c>
    </row>
    <row r="8" ht="21" customHeight="1">
      <c r="A8" s="14" t="inlineStr">
        <is>
          <t>FONTES</t>
        </is>
      </c>
      <c r="D8" s="30" t="inlineStr">
        <is>
          <t>Dados extraídos e organizados pela autora a partir de ANCINE/OCA, INCAA e pesquisa complementar. O TCC também utilizou múltiplas plataformas para categorização de gêneros e circulação.</t>
        </is>
      </c>
    </row>
    <row r="9" ht="21" customHeight="1">
      <c r="A9" s="14" t="inlineStr">
        <is>
          <t>PERGUNTAS DE NEGÓCIO</t>
        </is>
      </c>
      <c r="D9" s="30" t="inlineStr">
        <is>
          <t>Como a produção evoluiu? Qual o perfil majoritário/minoritário? Quais obras tiveram maior desempenho? Como circulam nas plataformas? Quais gêneros e produtoras se destacam?</t>
        </is>
      </c>
    </row>
    <row r="10" ht="21" customHeight="1">
      <c r="A10" s="14" t="inlineStr">
        <is>
          <t>PÁGINAS</t>
        </is>
      </c>
      <c r="D10" s="30" t="inlineStr">
        <is>
          <t>Visão Geral • Mercado • Distribuição • Gêneros &amp; Redes • Insights • Modelo de Dados</t>
        </is>
      </c>
    </row>
    <row r="11" ht="21" customHeight="1">
      <c r="A11" s="14" t="inlineStr">
        <is>
          <t>LIMITAÇÕES</t>
        </is>
      </c>
      <c r="D11" s="30" t="inlineStr">
        <is>
          <t>Disponibilidade digital é um retrato do levantamento de setembro de 2023, não disponibilidade atual. A série de produção é descritiva; não prova causalidade. Há lacunas em alguns dados internacionais.</t>
        </is>
      </c>
    </row>
    <row r="12" ht="21" customHeight="1">
      <c r="A12" s="14" t="inlineStr">
        <is>
          <t>COMO APRESENTAR</t>
        </is>
      </c>
      <c r="D12" s="30" t="inlineStr">
        <is>
          <t>O TCC é a origem do case. O dashboard é o produto final de análise e visualização.</t>
        </is>
      </c>
    </row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>
      <c r="A56" s="33" t="inlineStr">
        <is>
          <t>Base: TCC de Ana Luiza Mendes. O dashboard não substitui a metodologia acadêmica; traduz seus dados em uma camada analítica de portfólio.</t>
        </is>
      </c>
    </row>
    <row r="57" ht="21" customHeight="1"/>
    <row r="58" ht="21" customHeight="1"/>
    <row r="59" ht="21" customHeight="1"/>
  </sheetData>
  <mergeCells count="19">
    <mergeCell ref="D9:P9"/>
    <mergeCell ref="A1:P2"/>
    <mergeCell ref="D12:P12"/>
    <mergeCell ref="D8:P8"/>
    <mergeCell ref="A12:C12"/>
    <mergeCell ref="D5:P5"/>
    <mergeCell ref="A5:C5"/>
    <mergeCell ref="A8:C8"/>
    <mergeCell ref="D10:P10"/>
    <mergeCell ref="A10:C10"/>
    <mergeCell ref="D6:P6"/>
    <mergeCell ref="A9:C9"/>
    <mergeCell ref="D11:P11"/>
    <mergeCell ref="A11:C11"/>
    <mergeCell ref="A56:P56"/>
    <mergeCell ref="A6:C6"/>
    <mergeCell ref="A3:P3"/>
    <mergeCell ref="D7:P7"/>
    <mergeCell ref="A7:C7"/>
  </mergeCells>
  <pageMargins left="0.2" right="0.2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5B3887"/>
    <outlinePr summaryBelow="0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43" t="inlineStr">
        <is>
          <t>Ano</t>
        </is>
      </c>
      <c r="B1" s="43" t="inlineStr">
        <is>
          <t>Coproduções</t>
        </is>
      </c>
    </row>
    <row r="2">
      <c r="A2" s="44" t="n">
        <v>2012</v>
      </c>
      <c r="B2" s="44" t="n">
        <v>3</v>
      </c>
    </row>
    <row r="3">
      <c r="A3" s="45" t="n">
        <v>2013</v>
      </c>
      <c r="B3" s="45" t="n">
        <v>4</v>
      </c>
    </row>
    <row r="4">
      <c r="A4" s="44" t="n">
        <v>2014</v>
      </c>
      <c r="B4" s="44" t="n">
        <v>2</v>
      </c>
    </row>
    <row r="5">
      <c r="A5" s="45" t="n">
        <v>2015</v>
      </c>
      <c r="B5" s="45" t="n">
        <v>1</v>
      </c>
    </row>
    <row r="6">
      <c r="A6" s="44" t="n">
        <v>2016</v>
      </c>
      <c r="B6" s="44" t="n">
        <v>4</v>
      </c>
    </row>
    <row r="7">
      <c r="A7" s="45" t="n">
        <v>2017</v>
      </c>
      <c r="B7" s="45" t="n">
        <v>8</v>
      </c>
    </row>
    <row r="8">
      <c r="A8" s="44" t="n">
        <v>2018</v>
      </c>
      <c r="B8" s="44" t="n">
        <v>9</v>
      </c>
    </row>
    <row r="9">
      <c r="A9" s="45" t="n">
        <v>2019</v>
      </c>
      <c r="B9" s="45" t="n">
        <v>9</v>
      </c>
    </row>
    <row r="10">
      <c r="A10" s="44" t="n">
        <v>2020</v>
      </c>
      <c r="B10" s="44" t="n">
        <v>3</v>
      </c>
    </row>
    <row r="11">
      <c r="A11" s="45" t="n">
        <v>2021</v>
      </c>
      <c r="B11" s="45" t="n">
        <v>10</v>
      </c>
    </row>
  </sheetData>
  <autoFilter ref="A1:B11"/>
  <pageMargins left="0.2" right="0.2" top="0.3" bottom="0.3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B3887"/>
    <outlinePr summaryBelow="0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</cols>
  <sheetData>
    <row r="1">
      <c r="A1" s="43" t="inlineStr">
        <is>
          <t>País coprodutor</t>
        </is>
      </c>
      <c r="B1" s="43" t="inlineStr">
        <is>
          <t>Majoritária</t>
        </is>
      </c>
      <c r="C1" s="43" t="inlineStr">
        <is>
          <t>Minoritária</t>
        </is>
      </c>
      <c r="D1" s="43" t="inlineStr">
        <is>
          <t>Total</t>
        </is>
      </c>
    </row>
    <row r="2">
      <c r="A2" s="44" t="inlineStr">
        <is>
          <t>Argentina</t>
        </is>
      </c>
      <c r="B2" s="44" t="n">
        <v>17</v>
      </c>
      <c r="C2" s="44" t="n">
        <v>36</v>
      </c>
      <c r="D2" s="44" t="n">
        <v>53</v>
      </c>
    </row>
    <row r="3">
      <c r="A3" s="45" t="inlineStr">
        <is>
          <t>Uruguai</t>
        </is>
      </c>
      <c r="B3" s="45" t="n">
        <v>8</v>
      </c>
      <c r="C3" s="45" t="n">
        <v>11</v>
      </c>
      <c r="D3" s="45" t="n">
        <v>20</v>
      </c>
    </row>
    <row r="4">
      <c r="A4" s="44" t="inlineStr">
        <is>
          <t>Chile</t>
        </is>
      </c>
      <c r="B4" s="44" t="n">
        <v>3</v>
      </c>
      <c r="C4" s="44" t="n">
        <v>8</v>
      </c>
      <c r="D4" s="44" t="n">
        <v>12</v>
      </c>
    </row>
    <row r="5">
      <c r="A5" s="45" t="inlineStr">
        <is>
          <t>México</t>
        </is>
      </c>
      <c r="B5" s="45" t="n">
        <v>2</v>
      </c>
      <c r="C5" s="45" t="n">
        <v>2</v>
      </c>
      <c r="D5" s="45" t="n">
        <v>4</v>
      </c>
    </row>
    <row r="6">
      <c r="A6" s="44" t="inlineStr">
        <is>
          <t>Colômbia</t>
        </is>
      </c>
      <c r="B6" s="44" t="n">
        <v>2</v>
      </c>
      <c r="C6" s="44" t="n">
        <v>2</v>
      </c>
      <c r="D6" s="44" t="n">
        <v>4</v>
      </c>
    </row>
  </sheetData>
  <autoFilter ref="A1:D6"/>
  <pageMargins left="0.2" right="0.2" top="0.3" bottom="0.3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3887"/>
    <outlinePr summaryBelow="0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43" t="inlineStr">
        <is>
          <t>Ano</t>
        </is>
      </c>
      <c r="B1" s="43" t="inlineStr">
        <is>
          <t>Título</t>
        </is>
      </c>
      <c r="C1" s="43" t="inlineStr">
        <is>
          <t>Salas lançamento</t>
        </is>
      </c>
      <c r="D1" s="43" t="inlineStr">
        <is>
          <t>Máx. salas</t>
        </is>
      </c>
      <c r="E1" s="43" t="inlineStr">
        <is>
          <t>Público</t>
        </is>
      </c>
      <c r="F1" s="43" t="inlineStr">
        <is>
          <t>Renda (R$)</t>
        </is>
      </c>
    </row>
    <row r="2">
      <c r="A2" s="44" t="n">
        <v>2015</v>
      </c>
      <c r="B2" s="44" t="inlineStr">
        <is>
          <t>Divã A 2</t>
        </is>
      </c>
      <c r="C2" s="44" t="n">
        <v>315</v>
      </c>
      <c r="D2" s="44" t="n">
        <v>315</v>
      </c>
      <c r="E2" s="44" t="n">
        <v>164589</v>
      </c>
      <c r="F2" s="46" t="n">
        <v>1982583.38</v>
      </c>
    </row>
    <row r="3">
      <c r="A3" s="45" t="n">
        <v>2012</v>
      </c>
      <c r="B3" s="45" t="inlineStr">
        <is>
          <t>Infância Clandestina</t>
        </is>
      </c>
      <c r="C3" s="45" t="n">
        <v>17</v>
      </c>
      <c r="D3" s="45" t="n">
        <v>17</v>
      </c>
      <c r="E3" s="45" t="n">
        <v>32908</v>
      </c>
      <c r="F3" s="47" t="n">
        <v>379217.12</v>
      </c>
    </row>
    <row r="4">
      <c r="A4" s="44" t="n">
        <v>2017</v>
      </c>
      <c r="B4" s="44" t="inlineStr">
        <is>
          <t>Doidas E Santas</t>
        </is>
      </c>
      <c r="C4" s="44" t="n">
        <v>94</v>
      </c>
      <c r="D4" s="44" t="n">
        <v>94</v>
      </c>
      <c r="E4" s="44" t="n">
        <v>29925</v>
      </c>
      <c r="F4" s="46" t="n">
        <v>421006.83</v>
      </c>
    </row>
    <row r="5">
      <c r="A5" s="45" t="n">
        <v>2014</v>
      </c>
      <c r="B5" s="45" t="inlineStr">
        <is>
          <t>Coração De Leão</t>
        </is>
      </c>
      <c r="C5" s="45" t="n">
        <v>46</v>
      </c>
      <c r="D5" s="45" t="n">
        <v>46</v>
      </c>
      <c r="E5" s="45" t="n">
        <v>25936</v>
      </c>
      <c r="F5" s="47" t="n">
        <v>372720.93</v>
      </c>
    </row>
    <row r="6">
      <c r="A6" s="44" t="n">
        <v>2013</v>
      </c>
      <c r="B6" s="44" t="inlineStr">
        <is>
          <t>A Sorte Em Suas Mãos</t>
        </is>
      </c>
      <c r="C6" s="44" t="n">
        <v>16</v>
      </c>
      <c r="D6" s="44" t="n">
        <v>18</v>
      </c>
      <c r="E6" s="44" t="n">
        <v>25088</v>
      </c>
      <c r="F6" s="46" t="n">
        <v>316108.79</v>
      </c>
    </row>
    <row r="7">
      <c r="A7" s="45" t="n">
        <v>2016</v>
      </c>
      <c r="B7" s="45" t="inlineStr">
        <is>
          <t>Paulina</t>
        </is>
      </c>
      <c r="C7" s="45" t="n">
        <v>15</v>
      </c>
      <c r="D7" s="45" t="n">
        <v>19</v>
      </c>
      <c r="E7" s="45" t="n">
        <v>15324</v>
      </c>
      <c r="F7" s="47" t="n">
        <v>209170.77</v>
      </c>
    </row>
    <row r="8">
      <c r="A8" s="44" t="n">
        <v>2018</v>
      </c>
      <c r="B8" s="44" t="inlineStr">
        <is>
          <t>Praça Paris</t>
        </is>
      </c>
      <c r="C8" s="44" t="n">
        <v>20</v>
      </c>
      <c r="D8" s="44" t="n">
        <v>21</v>
      </c>
      <c r="E8" s="44" t="n">
        <v>13348</v>
      </c>
      <c r="F8" s="46" t="n">
        <v>206149</v>
      </c>
    </row>
    <row r="9">
      <c r="A9" s="45" t="n">
        <v>2018</v>
      </c>
      <c r="B9" s="45" t="inlineStr">
        <is>
          <t>Zama</t>
        </is>
      </c>
      <c r="C9" s="45" t="n">
        <v>19</v>
      </c>
      <c r="D9" s="45" t="n">
        <v>27</v>
      </c>
      <c r="E9" s="45" t="n">
        <v>10411</v>
      </c>
      <c r="F9" s="47" t="n">
        <v>142427.57</v>
      </c>
    </row>
    <row r="10">
      <c r="A10" s="44" t="n">
        <v>2016</v>
      </c>
      <c r="B10" s="44" t="inlineStr">
        <is>
          <t>Mate-Me Por Favor</t>
        </is>
      </c>
      <c r="C10" s="44" t="n">
        <v>46</v>
      </c>
      <c r="D10" s="44" t="n">
        <v>46</v>
      </c>
      <c r="E10" s="44" t="n">
        <v>9873</v>
      </c>
      <c r="F10" s="46" t="n">
        <v>116368.43</v>
      </c>
    </row>
    <row r="11">
      <c r="A11" s="45" t="n">
        <v>2017</v>
      </c>
      <c r="B11" s="45" t="inlineStr">
        <is>
          <t>Invisível</t>
        </is>
      </c>
      <c r="C11" s="45" t="n">
        <v>40</v>
      </c>
      <c r="D11" s="45" t="n">
        <v>41</v>
      </c>
      <c r="E11" s="45" t="n">
        <v>9610</v>
      </c>
      <c r="F11" s="47" t="n">
        <v>80562.53</v>
      </c>
    </row>
  </sheetData>
  <autoFilter ref="A1:F11"/>
  <conditionalFormatting sqref="E2:E11">
    <cfRule type="colorScale" priority="1">
      <colorScale>
        <cfvo type="min"/>
        <cfvo type="percentile" val="50"/>
        <cfvo type="max"/>
        <color rgb="00F3E8F4"/>
        <color rgb="00D5B9D9"/>
        <color rgb="008D4D9B"/>
      </colorScale>
    </cfRule>
  </conditionalFormatting>
  <pageMargins left="0.2" right="0.2" top="0.3" bottom="0.3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3887"/>
    <outlinePr summaryBelow="0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43" t="inlineStr">
        <is>
          <t>Ano</t>
        </is>
      </c>
      <c r="B1" s="43" t="inlineStr">
        <is>
          <t>Espectadores brasileiros de filmes argentinos</t>
        </is>
      </c>
    </row>
    <row r="2">
      <c r="A2" s="44" t="n">
        <v>2012</v>
      </c>
      <c r="B2" s="44" t="n">
        <v>293066</v>
      </c>
    </row>
    <row r="3">
      <c r="A3" s="45" t="n">
        <v>2013</v>
      </c>
      <c r="B3" s="45" t="n">
        <v>512478</v>
      </c>
    </row>
    <row r="4">
      <c r="A4" s="44" t="n">
        <v>2014</v>
      </c>
      <c r="B4" s="44" t="n">
        <v>494486</v>
      </c>
    </row>
    <row r="5">
      <c r="A5" s="45" t="n">
        <v>2015</v>
      </c>
      <c r="B5" s="45" t="n">
        <v>316412</v>
      </c>
    </row>
    <row r="6">
      <c r="A6" s="44" t="n">
        <v>2016</v>
      </c>
      <c r="B6" s="44" t="n">
        <v>368191</v>
      </c>
    </row>
    <row r="7">
      <c r="A7" s="45" t="n">
        <v>2017</v>
      </c>
      <c r="B7" s="45" t="n">
        <v>292698</v>
      </c>
    </row>
  </sheetData>
  <autoFilter ref="A1:B7"/>
  <pageMargins left="0.2" right="0.2" top="0.3" bottom="0.3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3887"/>
    <outlinePr summaryBelow="0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43" t="inlineStr">
        <is>
          <t>Gênero (pesquisa)</t>
        </is>
      </c>
      <c r="B1" s="43" t="inlineStr">
        <is>
          <t>Percentual</t>
        </is>
      </c>
    </row>
    <row r="2">
      <c r="A2" s="44" t="inlineStr">
        <is>
          <t>Drama</t>
        </is>
      </c>
      <c r="B2" s="44" t="n">
        <v>33.1</v>
      </c>
    </row>
    <row r="3">
      <c r="A3" s="45" t="inlineStr">
        <is>
          <t>Comédia</t>
        </is>
      </c>
      <c r="B3" s="45" t="n">
        <v>10.8</v>
      </c>
    </row>
    <row r="4">
      <c r="A4" s="44" t="inlineStr">
        <is>
          <t>Romance</t>
        </is>
      </c>
      <c r="B4" s="44" t="n">
        <v>8.5</v>
      </c>
    </row>
    <row r="5">
      <c r="A5" s="45" t="inlineStr">
        <is>
          <t>Suspense</t>
        </is>
      </c>
      <c r="B5" s="45" t="n">
        <v>7.7</v>
      </c>
    </row>
    <row r="6">
      <c r="A6" s="44" t="inlineStr">
        <is>
          <t>Crime</t>
        </is>
      </c>
      <c r="B6" s="44" t="n">
        <v>3.1</v>
      </c>
    </row>
    <row r="7">
      <c r="A7" s="45" t="inlineStr">
        <is>
          <t>Drama Psicológico</t>
        </is>
      </c>
      <c r="B7" s="45" t="n">
        <v>3.1</v>
      </c>
    </row>
    <row r="8">
      <c r="A8" s="44" t="inlineStr">
        <is>
          <t>Coming-of-Age</t>
        </is>
      </c>
      <c r="B8" s="44" t="n">
        <v>2.3</v>
      </c>
    </row>
    <row r="9">
      <c r="A9" s="45" t="inlineStr">
        <is>
          <t>Drama Histórico</t>
        </is>
      </c>
      <c r="B9" s="45" t="n">
        <v>2.3</v>
      </c>
    </row>
    <row r="10">
      <c r="A10" s="44" t="inlineStr">
        <is>
          <t>Música</t>
        </is>
      </c>
      <c r="B10" s="44" t="n">
        <v>2.3</v>
      </c>
    </row>
    <row r="11">
      <c r="A11" s="45" t="inlineStr">
        <is>
          <t>Ação</t>
        </is>
      </c>
      <c r="B11" s="45" t="n">
        <v>1.5</v>
      </c>
    </row>
    <row r="12">
      <c r="A12" s="44" t="inlineStr">
        <is>
          <t>Comédia Romântica</t>
        </is>
      </c>
      <c r="B12" s="44" t="n">
        <v>1.5</v>
      </c>
    </row>
    <row r="13">
      <c r="A13" s="45" t="inlineStr">
        <is>
          <t>Documentário</t>
        </is>
      </c>
      <c r="B13" s="45" t="n">
        <v>1.5</v>
      </c>
    </row>
    <row r="14">
      <c r="A14" s="44" t="inlineStr">
        <is>
          <t>Terror</t>
        </is>
      </c>
      <c r="B14" s="44" t="n">
        <v>1.5</v>
      </c>
    </row>
    <row r="15">
      <c r="A15" s="45" t="inlineStr">
        <is>
          <t>Slice of Life</t>
        </is>
      </c>
      <c r="B15" s="45" t="n">
        <v>1.5</v>
      </c>
    </row>
    <row r="16">
      <c r="A16" s="44" t="inlineStr">
        <is>
          <t>Novíssimo Cinema</t>
        </is>
      </c>
      <c r="B16" s="44" t="n">
        <v>1.5</v>
      </c>
    </row>
    <row r="17">
      <c r="A17" s="45" t="inlineStr">
        <is>
          <t>Mistério</t>
        </is>
      </c>
      <c r="B17" s="45" t="n">
        <v>1.5</v>
      </c>
    </row>
  </sheetData>
  <autoFilter ref="A1:B17"/>
  <pageMargins left="0.2" right="0.2" top="0.3" bottom="0.3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3887"/>
    <outlinePr summaryBelow="0" summaryRight="1"/>
    <pageSetUpPr fitToPage="1"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43" t="inlineStr">
        <is>
          <t>Plataforma</t>
        </is>
      </c>
      <c r="B1" s="43" t="inlineStr">
        <is>
          <t>Modalidade</t>
        </is>
      </c>
      <c r="C1" s="43" t="inlineStr">
        <is>
          <t>Títulos</t>
        </is>
      </c>
    </row>
    <row r="2">
      <c r="A2" s="44" t="inlineStr">
        <is>
          <t>Amazon Prime Video</t>
        </is>
      </c>
      <c r="B2" s="44" t="inlineStr">
        <is>
          <t>SVOD</t>
        </is>
      </c>
      <c r="C2" s="44" t="n">
        <v>11</v>
      </c>
    </row>
    <row r="3">
      <c r="A3" s="45" t="inlineStr">
        <is>
          <t>Claro TV</t>
        </is>
      </c>
      <c r="B3" s="45" t="inlineStr">
        <is>
          <t>SVOD</t>
        </is>
      </c>
      <c r="C3" s="45" t="n">
        <v>9</v>
      </c>
    </row>
    <row r="4">
      <c r="A4" s="44" t="inlineStr">
        <is>
          <t>Looke</t>
        </is>
      </c>
      <c r="B4" s="44" t="inlineStr">
        <is>
          <t>SVOD</t>
        </is>
      </c>
      <c r="C4" s="44" t="n">
        <v>8</v>
      </c>
    </row>
    <row r="5">
      <c r="A5" s="45" t="inlineStr">
        <is>
          <t>Netflix</t>
        </is>
      </c>
      <c r="B5" s="45" t="inlineStr">
        <is>
          <t>SVOD</t>
        </is>
      </c>
      <c r="C5" s="45" t="n">
        <v>7</v>
      </c>
    </row>
    <row r="6">
      <c r="A6" s="44" t="inlineStr">
        <is>
          <t>Reserva Imovision</t>
        </is>
      </c>
      <c r="B6" s="44" t="inlineStr">
        <is>
          <t>SVOD</t>
        </is>
      </c>
      <c r="C6" s="44" t="n">
        <v>5</v>
      </c>
    </row>
    <row r="7">
      <c r="A7" s="45" t="inlineStr">
        <is>
          <t>GloboPlay</t>
        </is>
      </c>
      <c r="B7" s="45" t="inlineStr">
        <is>
          <t>SVOD</t>
        </is>
      </c>
      <c r="C7" s="45" t="n">
        <v>4</v>
      </c>
    </row>
    <row r="8">
      <c r="A8" s="44" t="inlineStr">
        <is>
          <t>Canal Curta</t>
        </is>
      </c>
      <c r="B8" s="44" t="inlineStr">
        <is>
          <t>SVOD</t>
        </is>
      </c>
      <c r="C8" s="44" t="n">
        <v>2</v>
      </c>
    </row>
    <row r="9">
      <c r="A9" s="45" t="inlineStr">
        <is>
          <t>Vix</t>
        </is>
      </c>
      <c r="B9" s="45" t="inlineStr">
        <is>
          <t>SVOD</t>
        </is>
      </c>
      <c r="C9" s="45" t="n">
        <v>1</v>
      </c>
    </row>
    <row r="10">
      <c r="A10" s="44" t="inlineStr">
        <is>
          <t>Google Play Filmes</t>
        </is>
      </c>
      <c r="B10" s="44" t="inlineStr">
        <is>
          <t>TVOD</t>
        </is>
      </c>
      <c r="C10" s="44" t="n">
        <v>22</v>
      </c>
    </row>
    <row r="11">
      <c r="A11" s="45" t="inlineStr">
        <is>
          <t>Apple TV</t>
        </is>
      </c>
      <c r="B11" s="45" t="inlineStr">
        <is>
          <t>TVOD</t>
        </is>
      </c>
      <c r="C11" s="45" t="n">
        <v>12</v>
      </c>
    </row>
    <row r="12">
      <c r="A12" s="44" t="inlineStr">
        <is>
          <t>Amazon Prime Video</t>
        </is>
      </c>
      <c r="B12" s="44" t="inlineStr">
        <is>
          <t>TVOD</t>
        </is>
      </c>
      <c r="C12" s="44" t="n">
        <v>4</v>
      </c>
    </row>
  </sheetData>
  <autoFilter ref="A1:C12"/>
  <pageMargins left="0.2" right="0.2" top="0.3" bottom="0.3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B3887"/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43" t="inlineStr">
        <is>
          <t>Status</t>
        </is>
      </c>
      <c r="B1" s="43" t="inlineStr">
        <is>
          <t>Títulos</t>
        </is>
      </c>
    </row>
    <row r="2">
      <c r="A2" s="44" t="inlineStr">
        <is>
          <t>Com disponibilidade identificada</t>
        </is>
      </c>
      <c r="B2" s="44" t="n">
        <v>33</v>
      </c>
    </row>
    <row r="3">
      <c r="A3" s="45" t="inlineStr">
        <is>
          <t>Sem disponibilidade identificada</t>
        </is>
      </c>
      <c r="B3" s="45" t="n">
        <v>20</v>
      </c>
    </row>
  </sheetData>
  <autoFilter ref="A1:B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B3887"/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43" t="inlineStr">
        <is>
          <t>Produtora</t>
        </is>
      </c>
      <c r="B1" s="43" t="inlineStr">
        <is>
          <t>Coproduções</t>
        </is>
      </c>
    </row>
    <row r="2">
      <c r="A2" s="44" t="inlineStr">
        <is>
          <t>Taiga Filmes</t>
        </is>
      </c>
      <c r="B2" s="44" t="n">
        <v>5</v>
      </c>
    </row>
    <row r="3">
      <c r="A3" s="45" t="inlineStr">
        <is>
          <t>Bossa Nova Films</t>
        </is>
      </c>
      <c r="B3" s="45" t="n">
        <v>4</v>
      </c>
    </row>
    <row r="4">
      <c r="A4" s="44" t="inlineStr">
        <is>
          <t>Bananeira Filmes</t>
        </is>
      </c>
      <c r="B4" s="44" t="n">
        <v>3</v>
      </c>
    </row>
    <row r="5">
      <c r="A5" s="45" t="inlineStr">
        <is>
          <t>Desvia Produções</t>
        </is>
      </c>
      <c r="B5" s="45" t="n">
        <v>2</v>
      </c>
    </row>
    <row r="6">
      <c r="A6" s="44" t="inlineStr">
        <is>
          <t>Punta Colorada / Sancho</t>
        </is>
      </c>
      <c r="B6" s="44" t="n">
        <v>2</v>
      </c>
    </row>
    <row r="7">
      <c r="A7" s="45" t="inlineStr">
        <is>
          <t>Sombumbo Filmes</t>
        </is>
      </c>
      <c r="B7" s="45" t="n">
        <v>2</v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B3887"/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43" t="inlineStr">
        <is>
          <t>Produtora</t>
        </is>
      </c>
      <c r="B1" s="43" t="inlineStr">
        <is>
          <t>Coproduções</t>
        </is>
      </c>
    </row>
    <row r="2">
      <c r="A2" s="44" t="inlineStr">
        <is>
          <t>Cepa Audiovisual</t>
        </is>
      </c>
      <c r="B2" s="44" t="n">
        <v>5</v>
      </c>
    </row>
    <row r="3">
      <c r="A3" s="45" t="inlineStr">
        <is>
          <t>Magma Cine</t>
        </is>
      </c>
      <c r="B3" s="45" t="n">
        <v>3</v>
      </c>
    </row>
    <row r="4">
      <c r="A4" s="44" t="inlineStr">
        <is>
          <t>Andres Wood</t>
        </is>
      </c>
      <c r="B4" s="44" t="n">
        <v>2</v>
      </c>
    </row>
    <row r="5">
      <c r="A5" s="45" t="inlineStr">
        <is>
          <t>Aleph Media</t>
        </is>
      </c>
      <c r="B5" s="45" t="n">
        <v>2</v>
      </c>
    </row>
    <row r="6">
      <c r="A6" s="44" t="inlineStr">
        <is>
          <t>Campo Cine</t>
        </is>
      </c>
      <c r="B6" s="44" t="n">
        <v>2</v>
      </c>
    </row>
    <row r="7">
      <c r="A7" s="45" t="inlineStr">
        <is>
          <t>Movimiento Audiovisual</t>
        </is>
      </c>
      <c r="B7" s="45" t="n">
        <v>2</v>
      </c>
    </row>
    <row r="8">
      <c r="A8" s="44" t="inlineStr">
        <is>
          <t>Murillo Cine</t>
        </is>
      </c>
      <c r="B8" s="44" t="n">
        <v>2</v>
      </c>
    </row>
    <row r="9">
      <c r="A9" s="45" t="inlineStr">
        <is>
          <t>Pasto Cine</t>
        </is>
      </c>
      <c r="B9" s="45" t="n">
        <v>2</v>
      </c>
    </row>
    <row r="10">
      <c r="A10" s="44" t="inlineStr">
        <is>
          <t>Rei Cine</t>
        </is>
      </c>
      <c r="B10" s="44" t="n">
        <v>2</v>
      </c>
    </row>
    <row r="11">
      <c r="A11" s="45" t="inlineStr">
        <is>
          <t>Ruda Cine</t>
        </is>
      </c>
      <c r="B11" s="45" t="n">
        <v>2</v>
      </c>
    </row>
    <row r="12">
      <c r="A12" s="44" t="inlineStr">
        <is>
          <t>Zarlek</t>
        </is>
      </c>
      <c r="B12" s="44" t="n">
        <v>2</v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5B3887"/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0" t="inlineStr">
        <is>
          <t>DASHBOARD BI — V2 PROFISSIONAL</t>
        </is>
      </c>
    </row>
    <row r="2">
      <c r="A2" s="2" t="inlineStr">
        <is>
          <t>Estrutura do dashboard: Visão Geral • Mercado • Distribuição • Gêneros &amp; Redes • Insights</t>
        </is>
      </c>
    </row>
    <row r="3">
      <c r="A3" s="11" t="inlineStr">
        <is>
          <t>Objetivo</t>
        </is>
      </c>
      <c r="B3" s="12" t="inlineStr">
        <is>
          <t>Organizar os principais indicadores do TCC em uma camada de dashboard para portfólio de BI.</t>
        </is>
      </c>
    </row>
    <row r="4">
      <c r="A4" s="11" t="inlineStr">
        <is>
          <t>Recorte de produção</t>
        </is>
      </c>
      <c r="B4" s="12" t="inlineStr">
        <is>
          <t>Coproduções cinematográficas Brasil–Argentina entre 2012 e 2021.</t>
        </is>
      </c>
    </row>
    <row r="5">
      <c r="A5" s="11" t="inlineStr">
        <is>
          <t>Corpus</t>
        </is>
      </c>
      <c r="B5" s="12" t="inlineStr">
        <is>
          <t>53 coproduções; 17 majoritárias e 36 minoritárias.</t>
        </is>
      </c>
    </row>
    <row r="6">
      <c r="A6" s="11" t="inlineStr">
        <is>
          <t>Disponibilidade</t>
        </is>
      </c>
      <c r="B6" s="12" t="inlineStr">
        <is>
          <t>Levantamento de plataformas realizado entre agosto e setembro de 2023; não representa disponibilidade atual.</t>
        </is>
      </c>
    </row>
    <row r="7">
      <c r="A7" s="11" t="inlineStr">
        <is>
          <t>Fontes principais</t>
        </is>
      </c>
      <c r="B7" s="12" t="inlineStr">
        <is>
          <t>OCA/ANCINE, INCAA e dados organizados pela autora no TCC.</t>
        </is>
      </c>
    </row>
    <row r="8">
      <c r="A8" s="11" t="inlineStr">
        <is>
          <t>Bilheteria Brasil</t>
        </is>
      </c>
      <c r="B8" s="12" t="inlineStr">
        <is>
          <t>Quadro 03: dez filmes de maior sucesso comercial no cinema brasileiro.</t>
        </is>
      </c>
    </row>
    <row r="9">
      <c r="A9" s="11" t="inlineStr">
        <is>
          <t>Audiência Argentina</t>
        </is>
      </c>
      <c r="B9" s="12" t="inlineStr">
        <is>
          <t>Quadro 05: espectadores brasileiros de filmes argentinos entre 2012 e 2017.</t>
        </is>
      </c>
    </row>
    <row r="10">
      <c r="A10" s="11" t="inlineStr">
        <is>
          <t>Gêneros</t>
        </is>
      </c>
      <c r="B10" s="12" t="inlineStr">
        <is>
          <t>Gráfico 03 / pesquisa: categorias construídas pela autora a partir de múltiplas bases.</t>
        </is>
      </c>
    </row>
    <row r="11">
      <c r="A11" s="11" t="inlineStr">
        <is>
          <t>Cuidado metodológico</t>
        </is>
      </c>
      <c r="B11" s="12" t="inlineStr">
        <is>
          <t>Não interpretar a série anual como prova de causalidade entre políticas públicas e número de coproduções.</t>
        </is>
      </c>
    </row>
    <row r="12">
      <c r="A12" s="11" t="inlineStr">
        <is>
          <t>Uso em candidatura</t>
        </is>
      </c>
      <c r="B12" s="12" t="inlineStr">
        <is>
          <t>O arquivo é um protótipo de dashboard editável. A implementação em Power BI pode reproduzir este modelo com o mesmo conjunto de dados.</t>
        </is>
      </c>
    </row>
  </sheetData>
  <mergeCells count="12">
    <mergeCell ref="B4:F4"/>
    <mergeCell ref="A2:F2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1"/>
    <pageSetUpPr fitToPage="1"/>
  </sheetPr>
  <dimension ref="A1:S5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6" customWidth="1" min="5" max="5"/>
    <col width="15" customWidth="1" min="6" max="6"/>
    <col width="13" customWidth="1" min="7" max="7"/>
    <col width="4" customWidth="1" min="8" max="8"/>
    <col width="16" customWidth="1" min="9" max="9"/>
    <col width="15" customWidth="1" min="10" max="10"/>
    <col width="13" customWidth="1" min="11" max="11"/>
    <col width="13" customWidth="1" min="12" max="12"/>
    <col width="16" customWidth="1" min="13" max="13"/>
    <col width="15" customWidth="1" min="14" max="14"/>
    <col width="13" customWidth="1" min="15" max="15"/>
    <col width="13" customWidth="1" min="16" max="16"/>
    <col hidden="1" width="13" customWidth="1" min="18" max="18"/>
    <col hidden="1" width="13" customWidth="1" min="19" max="19"/>
  </cols>
  <sheetData>
    <row r="1" ht="28" customHeight="1">
      <c r="A1" s="94" t="inlineStr">
        <is>
          <t>COPRODUÇÕES CINEMATOGRÁFICAS BRASIL–ARGENTINA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R1" t="inlineStr">
        <is>
          <t>Ano</t>
        </is>
      </c>
      <c r="S1" t="inlineStr">
        <is>
          <t>Coproduções</t>
        </is>
      </c>
    </row>
    <row r="2" ht="18" customHeight="1">
      <c r="A2" s="95" t="inlineStr">
        <is>
          <t>Visão Geral</t>
        </is>
      </c>
      <c r="B2" s="96" t="n"/>
      <c r="C2" s="95" t="inlineStr">
        <is>
          <t>Mercado</t>
        </is>
      </c>
      <c r="D2" s="96" t="n"/>
      <c r="E2" s="95" t="inlineStr">
        <is>
          <t>Distribuição</t>
        </is>
      </c>
      <c r="F2" s="96" t="n"/>
      <c r="G2" s="95" t="inlineStr">
        <is>
          <t>Gêneros &amp; Redes</t>
        </is>
      </c>
      <c r="H2" s="96" t="n"/>
      <c r="I2" s="96" t="n"/>
      <c r="J2" s="95" t="inlineStr">
        <is>
          <t>Insights</t>
        </is>
      </c>
      <c r="K2" s="96" t="n"/>
      <c r="L2" s="95" t="inlineStr">
        <is>
          <t>Modelo</t>
        </is>
      </c>
      <c r="M2" s="96" t="n"/>
      <c r="N2" s="96" t="n"/>
      <c r="O2" s="96" t="n"/>
      <c r="P2" s="96" t="n"/>
      <c r="R2" t="n">
        <v>2012</v>
      </c>
      <c r="S2" t="n">
        <v>3</v>
      </c>
    </row>
    <row r="3" ht="22" customHeight="1">
      <c r="A3" s="97" t="inlineStr">
        <is>
          <t>VISÃO EXECUTIVA | 2012–2021</t>
        </is>
      </c>
      <c r="R3" t="n">
        <v>2013</v>
      </c>
      <c r="S3" t="n">
        <v>4</v>
      </c>
    </row>
    <row r="4" ht="18" customHeight="1">
      <c r="A4" s="96" t="n"/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R4" t="n">
        <v>2014</v>
      </c>
      <c r="S4" t="n">
        <v>2</v>
      </c>
    </row>
    <row r="5" ht="54" customHeight="1">
      <c r="A5" s="98" t="inlineStr">
        <is>
          <t>53
COPRODUÇÕES
CORPUS</t>
        </is>
      </c>
      <c r="B5" s="53" t="n"/>
      <c r="C5" s="53" t="n"/>
      <c r="D5" s="53" t="n"/>
      <c r="E5" s="99" t="inlineStr">
        <is>
          <t>17
MAJORITÁRIAS
32,1%</t>
        </is>
      </c>
      <c r="F5" s="55" t="n"/>
      <c r="G5" s="55" t="n"/>
      <c r="H5" s="55" t="n"/>
      <c r="I5" s="98" t="inlineStr">
        <is>
          <t>36
MINORITÁRIAS
67,9%</t>
        </is>
      </c>
      <c r="J5" s="53" t="n"/>
      <c r="K5" s="53" t="n"/>
      <c r="L5" s="53" t="n"/>
      <c r="M5" s="100" t="inlineStr">
        <is>
          <t>20
SEM DISPONIBILIDADE
LEVANTAMENTO 2023</t>
        </is>
      </c>
      <c r="N5" s="57" t="n"/>
      <c r="O5" s="57" t="n"/>
      <c r="P5" s="57" t="n"/>
      <c r="R5" t="n">
        <v>2015</v>
      </c>
      <c r="S5" t="n">
        <v>1</v>
      </c>
    </row>
    <row r="6" ht="18" customHeight="1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R6" t="n">
        <v>2016</v>
      </c>
      <c r="S6" t="n">
        <v>4</v>
      </c>
    </row>
    <row r="7" ht="18" customHeight="1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R7" t="n">
        <v>2017</v>
      </c>
      <c r="S7" t="n">
        <v>8</v>
      </c>
    </row>
    <row r="8" ht="18" customHeight="1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R8" t="n">
        <v>2018</v>
      </c>
      <c r="S8" t="n">
        <v>9</v>
      </c>
    </row>
    <row r="9" ht="18" customHeight="1">
      <c r="A9" s="96" t="n"/>
      <c r="B9" s="96" t="n"/>
      <c r="C9" s="96" t="n"/>
      <c r="D9" s="96" t="n"/>
      <c r="E9" s="96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R9" t="n">
        <v>2019</v>
      </c>
      <c r="S9" t="n">
        <v>9</v>
      </c>
    </row>
    <row r="10" ht="18" customHeight="1">
      <c r="A10" s="96" t="n"/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R10" t="n">
        <v>2020</v>
      </c>
      <c r="S10" t="n">
        <v>3</v>
      </c>
    </row>
    <row r="11" ht="18" customHeight="1">
      <c r="A11" s="96" t="n"/>
      <c r="B11" s="96" t="n"/>
      <c r="C11" s="96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R11" t="n">
        <v>2021</v>
      </c>
      <c r="S11" t="n">
        <v>10</v>
      </c>
    </row>
    <row r="12" ht="18" customHeight="1">
      <c r="A12" s="96" t="n"/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</row>
    <row r="13" ht="18" customHeight="1">
      <c r="A13" s="96" t="n"/>
      <c r="B13" s="96" t="n"/>
      <c r="C13" s="96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R13" t="inlineStr">
        <is>
          <t>Tipo</t>
        </is>
      </c>
      <c r="S13" t="inlineStr">
        <is>
          <t>Obras</t>
        </is>
      </c>
    </row>
    <row r="14" ht="18" customHeight="1">
      <c r="A14" s="96" t="n"/>
      <c r="B14" s="96" t="n"/>
      <c r="C14" s="96" t="n"/>
      <c r="D14" s="96" t="n"/>
      <c r="E14" s="96" t="n"/>
      <c r="F14" s="96" t="n"/>
      <c r="G14" s="96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R14" t="inlineStr">
        <is>
          <t>Minoritária</t>
        </is>
      </c>
      <c r="S14" t="n">
        <v>36</v>
      </c>
    </row>
    <row r="15" ht="18" customHeight="1">
      <c r="A15" s="96" t="n"/>
      <c r="B15" s="96" t="n"/>
      <c r="C15" s="96" t="n"/>
      <c r="D15" s="96" t="n"/>
      <c r="E15" s="96" t="n"/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R15" t="inlineStr">
        <is>
          <t>Majoritária</t>
        </is>
      </c>
      <c r="S15" t="n">
        <v>17</v>
      </c>
    </row>
    <row r="16" ht="18" customHeight="1">
      <c r="A16" s="96" t="n"/>
      <c r="B16" s="96" t="n"/>
      <c r="C16" s="96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</row>
    <row r="17" ht="18" customHeight="1">
      <c r="A17" s="96" t="n"/>
      <c r="B17" s="96" t="n"/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</row>
    <row r="18" ht="18" customHeight="1">
      <c r="A18" s="96" t="n"/>
      <c r="B18" s="96" t="n"/>
      <c r="C18" s="96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</row>
    <row r="19" ht="18" customHeight="1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</row>
    <row r="20" ht="18" customHeight="1">
      <c r="A20" s="96" t="n"/>
      <c r="B20" s="96" t="n"/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</row>
    <row r="21" ht="18" customHeight="1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</row>
    <row r="22" ht="18" customHeight="1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</row>
    <row r="23" ht="18" customHeight="1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</row>
    <row r="24" ht="18" customHeight="1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</row>
    <row r="25" ht="18" customHeight="1">
      <c r="A25" s="101" t="inlineStr">
        <is>
          <t>LEITURA EXECUTIVA</t>
        </is>
      </c>
    </row>
    <row r="26" ht="18" customHeight="1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</row>
    <row r="27" ht="18" customHeight="1">
      <c r="A27" s="102" t="inlineStr">
        <is>
          <t>PICO</t>
        </is>
      </c>
      <c r="E27" s="102" t="inlineStr">
        <is>
          <t>MÍNIMO</t>
        </is>
      </c>
      <c r="I27" s="102" t="inlineStr">
        <is>
          <t>SALTO</t>
        </is>
      </c>
      <c r="M27" s="102" t="inlineStr">
        <is>
          <t>PERFIL</t>
        </is>
      </c>
    </row>
    <row r="28" ht="18" customHeight="1">
      <c r="A28" s="103" t="inlineStr">
        <is>
          <t>2021 • 10 coproduções</t>
        </is>
      </c>
      <c r="E28" s="103" t="inlineStr">
        <is>
          <t>2015 • 1 coprodução</t>
        </is>
      </c>
      <c r="I28" s="103" t="inlineStr">
        <is>
          <t>2016→2017 • 4→8</t>
        </is>
      </c>
      <c r="M28" s="103" t="inlineStr">
        <is>
          <t>36 minoritárias</t>
        </is>
      </c>
    </row>
    <row r="29" ht="18" customHeight="1">
      <c r="A29" s="96" t="n"/>
      <c r="B29" s="96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</row>
    <row r="30" ht="18" customHeight="1">
      <c r="A30" s="96" t="n"/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</row>
    <row r="31" ht="18" customHeight="1">
      <c r="A31" s="96" t="n"/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</row>
    <row r="32" ht="18" customHeight="1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</row>
    <row r="33" ht="18" customHeight="1">
      <c r="A33" s="96" t="n"/>
      <c r="B33" s="96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</row>
    <row r="34" ht="18" customHeight="1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</row>
    <row r="35" ht="18" customHeight="1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</row>
    <row r="36" ht="18" customHeight="1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</row>
    <row r="37" ht="18" customHeight="1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</row>
    <row r="38" ht="18" customHeight="1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</row>
    <row r="39" ht="18" customHeight="1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</row>
    <row r="40" ht="18" customHeight="1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</row>
    <row r="41" ht="18" customHeight="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</row>
    <row r="42" ht="20" customHeight="1">
      <c r="A42" s="104" t="inlineStr">
        <is>
          <t>Fonte: TCC, Gráfico 01 e Quadro 01. A série descreve o recorte e não estabelece causalidade.</t>
        </is>
      </c>
    </row>
    <row r="43" ht="18" customHeight="1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</row>
    <row r="44" ht="18" customHeight="1">
      <c r="A44" s="96" t="inlineStr">
        <is>
          <t>Tipo</t>
        </is>
      </c>
      <c r="B44" s="96" t="inlineStr">
        <is>
          <t>Obras</t>
        </is>
      </c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</row>
    <row r="45" ht="18" customHeight="1">
      <c r="A45" s="96" t="inlineStr">
        <is>
          <t>Minoritária</t>
        </is>
      </c>
      <c r="B45" s="96" t="n">
        <v>36</v>
      </c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</row>
    <row r="46" ht="18" customHeight="1">
      <c r="A46" s="96" t="inlineStr">
        <is>
          <t>Majoritária</t>
        </is>
      </c>
      <c r="B46" s="96" t="n">
        <v>17</v>
      </c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</row>
    <row r="47" ht="18" customHeight="1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</row>
    <row r="48" ht="18" customHeight="1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</row>
    <row r="49" ht="18" customHeight="1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</row>
    <row r="50" ht="18" customHeight="1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</row>
    <row r="51" ht="18" customHeight="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</row>
    <row r="52" ht="18" customHeight="1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</row>
    <row r="53" ht="18" customHeight="1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</row>
    <row r="54" ht="18" customHeight="1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</row>
    <row r="55" ht="18" customHeight="1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</row>
    <row r="56" hidden="1" ht="18" customHeight="1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</row>
    <row r="57" ht="21" customHeight="1"/>
    <row r="58" ht="21" customHeight="1"/>
    <row r="59" ht="21" customHeight="1"/>
  </sheetData>
  <mergeCells count="16">
    <mergeCell ref="A42:P42"/>
    <mergeCell ref="I5:L8"/>
    <mergeCell ref="M5:P8"/>
    <mergeCell ref="A1:P1"/>
    <mergeCell ref="A28:D28"/>
    <mergeCell ref="A5:D8"/>
    <mergeCell ref="E28:H28"/>
    <mergeCell ref="E5:H8"/>
    <mergeCell ref="A25:P25"/>
    <mergeCell ref="I28:L28"/>
    <mergeCell ref="A27:D27"/>
    <mergeCell ref="A3:P3"/>
    <mergeCell ref="M28:P28"/>
    <mergeCell ref="E27:H27"/>
    <mergeCell ref="I27:L27"/>
    <mergeCell ref="M27:P27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J2" r:id="rId5"/>
    <hyperlink xmlns:r="http://schemas.openxmlformats.org/officeDocument/2006/relationships" ref="L2" r:id="rId6"/>
  </hyperlinks>
  <pageMargins left="0.2" right="0.2" top="0.35" bottom="0.35" header="0.1" footer="0.15"/>
  <pageSetup orientation="landscape" paperSize="9" fitToHeight="1" fitToWidth="1"/>
  <drawing xmlns:r="http://schemas.openxmlformats.org/officeDocument/2006/relationships" r:id="rId7"/>
</worksheet>
</file>

<file path=xl/worksheets/sheet13.xml><?xml version="1.0" encoding="utf-8"?>
<worksheet xmlns="http://schemas.openxmlformats.org/spreadsheetml/2006/main">
  <sheetPr>
    <outlinePr summaryBelow="0" summaryRight="1"/>
    <pageSetUpPr fitToPage="1"/>
  </sheetPr>
  <dimension ref="A1:S5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6" customWidth="1" min="5" max="5"/>
    <col width="15" customWidth="1" min="6" max="6"/>
    <col width="13" customWidth="1" min="7" max="7"/>
    <col width="4" customWidth="1" min="8" max="8"/>
    <col width="16" customWidth="1" min="9" max="9"/>
    <col width="15" customWidth="1" min="10" max="10"/>
    <col width="13" customWidth="1" min="11" max="11"/>
    <col width="13" customWidth="1" min="12" max="12"/>
    <col width="16" customWidth="1" min="13" max="13"/>
    <col width="15" customWidth="1" min="14" max="14"/>
    <col width="13" customWidth="1" min="15" max="15"/>
    <col width="13" customWidth="1" min="16" max="16"/>
    <col hidden="1" width="13" customWidth="1" min="18" max="18"/>
    <col hidden="1" width="13" customWidth="1" min="19" max="19"/>
  </cols>
  <sheetData>
    <row r="1" ht="28" customHeight="1">
      <c r="A1" s="94" t="inlineStr">
        <is>
          <t>MERCADO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R1" t="inlineStr">
        <is>
          <t>Ano</t>
        </is>
      </c>
      <c r="S1" t="inlineStr">
        <is>
          <t>Espectadores</t>
        </is>
      </c>
    </row>
    <row r="2" ht="18" customHeight="1">
      <c r="A2" s="95" t="inlineStr">
        <is>
          <t>Visão Geral</t>
        </is>
      </c>
      <c r="B2" s="96" t="n"/>
      <c r="C2" s="95" t="inlineStr">
        <is>
          <t>Mercado</t>
        </is>
      </c>
      <c r="D2" s="96" t="n"/>
      <c r="E2" s="95" t="inlineStr">
        <is>
          <t>Distribuição</t>
        </is>
      </c>
      <c r="F2" s="96" t="n"/>
      <c r="G2" s="95" t="inlineStr">
        <is>
          <t>Gêneros &amp; Redes</t>
        </is>
      </c>
      <c r="H2" s="96" t="n"/>
      <c r="I2" s="96" t="n"/>
      <c r="J2" s="95" t="inlineStr">
        <is>
          <t>Insights</t>
        </is>
      </c>
      <c r="K2" s="96" t="n"/>
      <c r="L2" s="95" t="inlineStr">
        <is>
          <t>Modelo</t>
        </is>
      </c>
      <c r="M2" s="96" t="n"/>
      <c r="N2" s="96" t="n"/>
      <c r="O2" s="96" t="n"/>
      <c r="P2" s="96" t="n"/>
      <c r="R2" t="n">
        <v>2012</v>
      </c>
      <c r="S2" t="n">
        <v>293066</v>
      </c>
    </row>
    <row r="3" ht="22" customHeight="1">
      <c r="A3" s="97" t="inlineStr">
        <is>
          <t>DESEMPENHO COMERCIAL, ALCANCE E AUDIÊNCIA</t>
        </is>
      </c>
      <c r="R3" t="n">
        <v>2013</v>
      </c>
      <c r="S3" t="n">
        <v>512478</v>
      </c>
    </row>
    <row r="4" ht="18" customHeight="1">
      <c r="A4" s="96" t="n"/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R4" t="n">
        <v>2014</v>
      </c>
      <c r="S4" t="n">
        <v>494486</v>
      </c>
    </row>
    <row r="5" ht="54" customHeight="1">
      <c r="A5" s="99" t="inlineStr">
        <is>
          <t>164.589
MAIOR PÚBLICO BR
Divã A 2</t>
        </is>
      </c>
      <c r="B5" s="55" t="n"/>
      <c r="C5" s="55" t="n"/>
      <c r="D5" s="55" t="n"/>
      <c r="E5" s="98" t="inlineStr">
        <is>
          <t>612.922
MAIOR PÚBLICO ARGENTINA
O Mistério da Felicidade</t>
        </is>
      </c>
      <c r="F5" s="53" t="n"/>
      <c r="G5" s="53" t="n"/>
      <c r="H5" s="53" t="n"/>
      <c r="I5" s="99" t="inlineStr">
        <is>
          <t>315
MÁX. SALAS
Divã A 2</t>
        </is>
      </c>
      <c r="J5" s="55" t="n"/>
      <c r="K5" s="55" t="n"/>
      <c r="L5" s="55" t="n"/>
      <c r="M5" s="98" t="inlineStr">
        <is>
          <t>10
FILMES NO RANKING
TOP 10 DO QUADRO 03</t>
        </is>
      </c>
      <c r="N5" s="53" t="n"/>
      <c r="O5" s="53" t="n"/>
      <c r="P5" s="53" t="n"/>
      <c r="R5" t="n">
        <v>2015</v>
      </c>
      <c r="S5" t="n">
        <v>316412</v>
      </c>
    </row>
    <row r="6" ht="18" customHeight="1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R6" t="n">
        <v>2016</v>
      </c>
      <c r="S6" t="n">
        <v>368191</v>
      </c>
    </row>
    <row r="7" ht="18" customHeight="1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R7" t="n">
        <v>2017</v>
      </c>
      <c r="S7" t="n">
        <v>292698</v>
      </c>
    </row>
    <row r="8" ht="18" customHeight="1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 ht="18" customHeight="1">
      <c r="A9" s="96" t="n"/>
      <c r="B9" s="96" t="n"/>
      <c r="C9" s="96" t="n"/>
      <c r="D9" s="96" t="n"/>
      <c r="E9" s="96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</row>
    <row r="10" ht="18" customHeight="1">
      <c r="A10" s="96" t="n"/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</row>
    <row r="11" ht="18" customHeight="1">
      <c r="A11" s="96" t="n"/>
      <c r="B11" s="96" t="n"/>
      <c r="C11" s="96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</row>
    <row r="12" ht="18" customHeight="1">
      <c r="A12" s="96" t="n"/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</row>
    <row r="13" ht="18" customHeight="1">
      <c r="A13" s="96" t="n"/>
      <c r="B13" s="96" t="n"/>
      <c r="C13" s="96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</row>
    <row r="14" ht="18" customHeight="1">
      <c r="A14" s="96" t="n"/>
      <c r="B14" s="96" t="n"/>
      <c r="C14" s="96" t="n"/>
      <c r="D14" s="96" t="n"/>
      <c r="E14" s="96" t="n"/>
      <c r="F14" s="96" t="n"/>
      <c r="G14" s="96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</row>
    <row r="15" ht="18" customHeight="1">
      <c r="A15" s="96" t="n"/>
      <c r="B15" s="96" t="n"/>
      <c r="C15" s="96" t="n"/>
      <c r="D15" s="96" t="n"/>
      <c r="E15" s="96" t="n"/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</row>
    <row r="16" ht="18" customHeight="1">
      <c r="A16" s="96" t="n"/>
      <c r="B16" s="96" t="n"/>
      <c r="C16" s="96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</row>
    <row r="17" ht="18" customHeight="1">
      <c r="A17" s="96" t="n"/>
      <c r="B17" s="96" t="n"/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</row>
    <row r="18" ht="18" customHeight="1">
      <c r="A18" s="96" t="n"/>
      <c r="B18" s="96" t="n"/>
      <c r="C18" s="96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</row>
    <row r="19" ht="18" customHeight="1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</row>
    <row r="20" ht="18" customHeight="1">
      <c r="A20" s="96" t="n"/>
      <c r="B20" s="96" t="n"/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</row>
    <row r="21" ht="18" customHeight="1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</row>
    <row r="22" ht="18" customHeight="1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</row>
    <row r="23" ht="18" customHeight="1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</row>
    <row r="24" ht="18" customHeight="1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</row>
    <row r="25" ht="18" customHeight="1">
      <c r="A25" s="101" t="inlineStr">
        <is>
          <t>RANKING DE BILHETERIA — BRASIL</t>
        </is>
      </c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</row>
    <row r="26" ht="18" customHeight="1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</row>
    <row r="27" ht="18" customHeight="1">
      <c r="A27" s="64" t="inlineStr">
        <is>
          <t>Ano</t>
        </is>
      </c>
      <c r="B27" s="64" t="inlineStr">
        <is>
          <t>Título</t>
        </is>
      </c>
      <c r="C27" s="64" t="inlineStr">
        <is>
          <t>Salas</t>
        </is>
      </c>
      <c r="D27" s="64" t="inlineStr">
        <is>
          <t>Máx. salas</t>
        </is>
      </c>
      <c r="E27" s="64" t="inlineStr">
        <is>
          <t>Público</t>
        </is>
      </c>
      <c r="F27" s="64" t="inlineStr">
        <is>
          <t>Renda (R$)</t>
        </is>
      </c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</row>
    <row r="28" ht="18" customHeight="1">
      <c r="A28" s="65" t="n">
        <v>2015</v>
      </c>
      <c r="B28" s="65" t="inlineStr">
        <is>
          <t>Divã A 2</t>
        </is>
      </c>
      <c r="C28" s="65" t="n">
        <v>315</v>
      </c>
      <c r="D28" s="65" t="n">
        <v>315</v>
      </c>
      <c r="E28" s="65" t="n">
        <v>164589</v>
      </c>
      <c r="F28" s="66" t="n">
        <v>1982583.38</v>
      </c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</row>
    <row r="29" ht="18" customHeight="1">
      <c r="A29" s="67" t="n">
        <v>2012</v>
      </c>
      <c r="B29" s="67" t="inlineStr">
        <is>
          <t>Infância Clandestina</t>
        </is>
      </c>
      <c r="C29" s="67" t="n">
        <v>17</v>
      </c>
      <c r="D29" s="67" t="n">
        <v>17</v>
      </c>
      <c r="E29" s="67" t="n">
        <v>32908</v>
      </c>
      <c r="F29" s="68" t="n">
        <v>379217.12</v>
      </c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</row>
    <row r="30" ht="18" customHeight="1">
      <c r="A30" s="65" t="n">
        <v>2017</v>
      </c>
      <c r="B30" s="65" t="inlineStr">
        <is>
          <t>Doidas E Santas</t>
        </is>
      </c>
      <c r="C30" s="65" t="n">
        <v>94</v>
      </c>
      <c r="D30" s="65" t="n">
        <v>94</v>
      </c>
      <c r="E30" s="65" t="n">
        <v>29925</v>
      </c>
      <c r="F30" s="66" t="n">
        <v>421006.83</v>
      </c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</row>
    <row r="31" ht="18" customHeight="1">
      <c r="A31" s="67" t="n">
        <v>2014</v>
      </c>
      <c r="B31" s="67" t="inlineStr">
        <is>
          <t>Coração De Leão</t>
        </is>
      </c>
      <c r="C31" s="67" t="n">
        <v>46</v>
      </c>
      <c r="D31" s="67" t="n">
        <v>46</v>
      </c>
      <c r="E31" s="67" t="n">
        <v>25936</v>
      </c>
      <c r="F31" s="68" t="n">
        <v>372720.93</v>
      </c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</row>
    <row r="32" ht="18" customHeight="1">
      <c r="A32" s="65" t="n">
        <v>2013</v>
      </c>
      <c r="B32" s="65" t="inlineStr">
        <is>
          <t>A Sorte Em Suas Mãos</t>
        </is>
      </c>
      <c r="C32" s="65" t="n">
        <v>16</v>
      </c>
      <c r="D32" s="65" t="n">
        <v>18</v>
      </c>
      <c r="E32" s="65" t="n">
        <v>25088</v>
      </c>
      <c r="F32" s="66" t="n">
        <v>316108.79</v>
      </c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</row>
    <row r="33" ht="18" customHeight="1">
      <c r="A33" s="67" t="n">
        <v>2016</v>
      </c>
      <c r="B33" s="67" t="inlineStr">
        <is>
          <t>Paulina</t>
        </is>
      </c>
      <c r="C33" s="67" t="n">
        <v>15</v>
      </c>
      <c r="D33" s="67" t="n">
        <v>19</v>
      </c>
      <c r="E33" s="67" t="n">
        <v>15324</v>
      </c>
      <c r="F33" s="68" t="n">
        <v>209170.77</v>
      </c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</row>
    <row r="34" ht="18" customHeight="1">
      <c r="A34" s="65" t="n">
        <v>2018</v>
      </c>
      <c r="B34" s="65" t="inlineStr">
        <is>
          <t>Praça Paris</t>
        </is>
      </c>
      <c r="C34" s="65" t="n">
        <v>20</v>
      </c>
      <c r="D34" s="65" t="n">
        <v>21</v>
      </c>
      <c r="E34" s="65" t="n">
        <v>13348</v>
      </c>
      <c r="F34" s="66" t="n">
        <v>206149</v>
      </c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</row>
    <row r="35" ht="18" customHeight="1">
      <c r="A35" s="67" t="n">
        <v>2018</v>
      </c>
      <c r="B35" s="67" t="inlineStr">
        <is>
          <t>Zama</t>
        </is>
      </c>
      <c r="C35" s="67" t="n">
        <v>19</v>
      </c>
      <c r="D35" s="67" t="n">
        <v>27</v>
      </c>
      <c r="E35" s="67" t="n">
        <v>10411</v>
      </c>
      <c r="F35" s="68" t="n">
        <v>142427.57</v>
      </c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</row>
    <row r="36" ht="18" customHeight="1">
      <c r="A36" s="65" t="n">
        <v>2016</v>
      </c>
      <c r="B36" s="65" t="inlineStr">
        <is>
          <t>Mate-Me Por Favor</t>
        </is>
      </c>
      <c r="C36" s="65" t="n">
        <v>46</v>
      </c>
      <c r="D36" s="65" t="n">
        <v>46</v>
      </c>
      <c r="E36" s="65" t="n">
        <v>9873</v>
      </c>
      <c r="F36" s="66" t="n">
        <v>116368.43</v>
      </c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</row>
    <row r="37" ht="18" customHeight="1">
      <c r="A37" s="67" t="n">
        <v>2017</v>
      </c>
      <c r="B37" s="67" t="inlineStr">
        <is>
          <t>Invisível</t>
        </is>
      </c>
      <c r="C37" s="67" t="n">
        <v>40</v>
      </c>
      <c r="D37" s="67" t="n">
        <v>41</v>
      </c>
      <c r="E37" s="67" t="n">
        <v>9610</v>
      </c>
      <c r="F37" s="68" t="n">
        <v>80562.53</v>
      </c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</row>
    <row r="38" ht="18" customHeight="1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</row>
    <row r="39" ht="18" customHeight="1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</row>
    <row r="40" ht="18" customHeight="1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</row>
    <row r="41" ht="18" customHeight="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</row>
    <row r="42" ht="20" customHeight="1">
      <c r="A42" s="104" t="inlineStr">
        <is>
          <t>Fonte: TCC, Quadros 02, 03 e 05. O ranking reúne os dez filmes brasileiros em coprodução com maior bilheteria no Brasil.</t>
        </is>
      </c>
    </row>
    <row r="43" ht="18" customHeight="1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</row>
    <row r="44" ht="18" customHeight="1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</row>
    <row r="45" ht="18" customHeight="1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</row>
    <row r="46" ht="18" customHeight="1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</row>
    <row r="47" ht="18" customHeight="1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</row>
    <row r="48" ht="18" customHeight="1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</row>
    <row r="49" ht="18" customHeight="1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</row>
    <row r="50" ht="18" customHeight="1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</row>
    <row r="51" ht="18" customHeight="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</row>
    <row r="52" ht="18" customHeight="1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</row>
    <row r="53" ht="18" customHeight="1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</row>
    <row r="54" ht="18" customHeight="1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</row>
    <row r="55" ht="18" customHeight="1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</row>
    <row r="56" hidden="1" ht="18" customHeight="1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</row>
    <row r="57" ht="21" customHeight="1"/>
    <row r="58" ht="21" customHeight="1"/>
    <row r="59" ht="21" customHeight="1"/>
  </sheetData>
  <mergeCells count="8">
    <mergeCell ref="A42:P42"/>
    <mergeCell ref="I5:L8"/>
    <mergeCell ref="M5:P8"/>
    <mergeCell ref="A1:P1"/>
    <mergeCell ref="A3:P3"/>
    <mergeCell ref="A5:D8"/>
    <mergeCell ref="E5:H8"/>
    <mergeCell ref="A25:F25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J2" r:id="rId5"/>
    <hyperlink xmlns:r="http://schemas.openxmlformats.org/officeDocument/2006/relationships" ref="L2" r:id="rId6"/>
  </hyperlinks>
  <pageMargins left="0.2" right="0.2" top="0.35" bottom="0.35" header="0.1" footer="0.15"/>
  <pageSetup orientation="landscape" paperSize="9" fitToHeight="1" fitToWidth="1"/>
  <drawing xmlns:r="http://schemas.openxmlformats.org/officeDocument/2006/relationships" r:id="rId7"/>
</worksheet>
</file>

<file path=xl/worksheets/sheet14.xml><?xml version="1.0" encoding="utf-8"?>
<worksheet xmlns="http://schemas.openxmlformats.org/spreadsheetml/2006/main">
  <sheetPr>
    <outlinePr summaryBelow="0" summaryRight="1"/>
    <pageSetUpPr fitToPage="1"/>
  </sheetPr>
  <dimension ref="A1:P5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6" customWidth="1" min="5" max="5"/>
    <col width="15" customWidth="1" min="6" max="6"/>
    <col width="13" customWidth="1" min="7" max="7"/>
    <col width="4" customWidth="1" min="8" max="8"/>
    <col width="16" customWidth="1" min="9" max="9"/>
    <col width="15" customWidth="1" min="10" max="10"/>
    <col width="13" customWidth="1" min="11" max="11"/>
    <col width="13" customWidth="1" min="12" max="12"/>
    <col width="16" customWidth="1" min="13" max="13"/>
    <col width="15" customWidth="1" min="14" max="14"/>
    <col width="13" customWidth="1" min="15" max="15"/>
    <col width="13" customWidth="1" min="16" max="16"/>
  </cols>
  <sheetData>
    <row r="1" ht="28" customHeight="1">
      <c r="A1" s="94" t="inlineStr">
        <is>
          <t>DISTRIBUIÇÃO DIGITAL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</row>
    <row r="2" ht="18" customHeight="1">
      <c r="A2" s="95" t="inlineStr">
        <is>
          <t>Visão Geral</t>
        </is>
      </c>
      <c r="B2" s="96" t="n"/>
      <c r="C2" s="95" t="inlineStr">
        <is>
          <t>Mercado</t>
        </is>
      </c>
      <c r="D2" s="96" t="n"/>
      <c r="E2" s="95" t="inlineStr">
        <is>
          <t>Distribuição</t>
        </is>
      </c>
      <c r="F2" s="96" t="n"/>
      <c r="G2" s="95" t="inlineStr">
        <is>
          <t>Gêneros &amp; Redes</t>
        </is>
      </c>
      <c r="H2" s="96" t="n"/>
      <c r="I2" s="96" t="n"/>
      <c r="J2" s="95" t="inlineStr">
        <is>
          <t>Insights</t>
        </is>
      </c>
      <c r="K2" s="96" t="n"/>
      <c r="L2" s="95" t="inlineStr">
        <is>
          <t>Modelo</t>
        </is>
      </c>
      <c r="M2" s="96" t="n"/>
      <c r="N2" s="96" t="n"/>
      <c r="O2" s="96" t="n"/>
      <c r="P2" s="96" t="n"/>
    </row>
    <row r="3" ht="22" customHeight="1">
      <c r="A3" s="97" t="inlineStr">
        <is>
          <t>DISPONIBILIDADE OBSERVADA NO LEVANTAMENTO DE SETEMBRO DE 2023</t>
        </is>
      </c>
    </row>
    <row r="4" ht="18" customHeight="1">
      <c r="A4" s="96" t="n"/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</row>
    <row r="5" ht="54" customHeight="1">
      <c r="A5" s="105" t="inlineStr">
        <is>
          <t>33
COM DISPONIBILIDADE
IDENTIFICADA</t>
        </is>
      </c>
      <c r="B5" s="70" t="n"/>
      <c r="C5" s="70" t="n"/>
      <c r="D5" s="70" t="n"/>
      <c r="E5" s="100" t="inlineStr">
        <is>
          <t>20
SEM DISPONIBILIDADE
53 OBRAS NO CORPUS</t>
        </is>
      </c>
      <c r="F5" s="57" t="n"/>
      <c r="G5" s="57" t="n"/>
      <c r="H5" s="57" t="n"/>
      <c r="I5" s="98" t="inlineStr">
        <is>
          <t>22
TVOD • GOOGLE PLAY
TÍTULOS IDENTIFICADOS</t>
        </is>
      </c>
      <c r="J5" s="53" t="n"/>
      <c r="K5" s="53" t="n"/>
      <c r="L5" s="53" t="n"/>
      <c r="M5" s="99" t="inlineStr">
        <is>
          <t>11
SVOD • AMAZON PRIME
TÍTULOS IDENTIFICADOS</t>
        </is>
      </c>
      <c r="N5" s="55" t="n"/>
      <c r="O5" s="55" t="n"/>
      <c r="P5" s="55" t="n"/>
    </row>
    <row r="6" ht="18" customHeight="1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</row>
    <row r="7" ht="18" customHeight="1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</row>
    <row r="8" ht="18" customHeight="1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 ht="18" customHeight="1">
      <c r="A9" s="96" t="n"/>
      <c r="B9" s="96" t="n"/>
      <c r="C9" s="96" t="n"/>
      <c r="D9" s="96" t="n"/>
      <c r="E9" s="96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</row>
    <row r="10" ht="18" customHeight="1">
      <c r="A10" s="96" t="n"/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</row>
    <row r="11" ht="18" customHeight="1">
      <c r="A11" s="96" t="n"/>
      <c r="B11" s="96" t="n"/>
      <c r="C11" s="96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</row>
    <row r="12" ht="18" customHeight="1">
      <c r="A12" s="96" t="n"/>
      <c r="B12" s="96" t="n"/>
      <c r="C12" s="96" t="n"/>
      <c r="D12" s="96" t="n"/>
      <c r="E12" s="96" t="n"/>
      <c r="F12" s="96" t="n"/>
      <c r="G12" s="96" t="n"/>
      <c r="H12" s="96" t="n"/>
      <c r="I12" s="96" t="n"/>
      <c r="J12" s="64" t="inlineStr">
        <is>
          <t>Plataforma</t>
        </is>
      </c>
      <c r="K12" s="64" t="inlineStr">
        <is>
          <t>SVOD</t>
        </is>
      </c>
      <c r="L12" s="64" t="inlineStr">
        <is>
          <t>TVOD</t>
        </is>
      </c>
      <c r="M12" s="96" t="n"/>
      <c r="N12" s="96" t="n"/>
      <c r="O12" s="96" t="n"/>
      <c r="P12" s="96" t="n"/>
    </row>
    <row r="13" ht="18" customHeight="1">
      <c r="A13" s="96" t="n"/>
      <c r="B13" s="96" t="n"/>
      <c r="C13" s="96" t="n"/>
      <c r="D13" s="96" t="n"/>
      <c r="E13" s="96" t="n"/>
      <c r="F13" s="96" t="n"/>
      <c r="G13" s="96" t="n"/>
      <c r="H13" s="96" t="n"/>
      <c r="I13" s="96" t="n"/>
      <c r="J13" s="67" t="inlineStr">
        <is>
          <t>Amazon Prime Video</t>
        </is>
      </c>
      <c r="K13" s="67" t="inlineStr">
        <is>
          <t>SVOD</t>
        </is>
      </c>
      <c r="L13" s="67" t="n">
        <v>11</v>
      </c>
      <c r="M13" s="96" t="n"/>
      <c r="N13" s="96" t="n"/>
      <c r="O13" s="96" t="n"/>
      <c r="P13" s="96" t="n"/>
    </row>
    <row r="14" ht="18" customHeight="1">
      <c r="A14" s="96" t="n"/>
      <c r="B14" s="96" t="n"/>
      <c r="C14" s="96" t="n"/>
      <c r="D14" s="96" t="n"/>
      <c r="E14" s="96" t="n"/>
      <c r="F14" s="96" t="n"/>
      <c r="G14" s="96" t="n"/>
      <c r="H14" s="96" t="n"/>
      <c r="I14" s="96" t="n"/>
      <c r="J14" s="65" t="inlineStr">
        <is>
          <t>Claro TV</t>
        </is>
      </c>
      <c r="K14" s="65" t="inlineStr">
        <is>
          <t>SVOD</t>
        </is>
      </c>
      <c r="L14" s="65" t="n">
        <v>9</v>
      </c>
      <c r="M14" s="96" t="n"/>
      <c r="N14" s="96" t="n"/>
      <c r="O14" s="96" t="n"/>
      <c r="P14" s="96" t="n"/>
    </row>
    <row r="15" ht="18" customHeight="1">
      <c r="A15" s="96" t="n"/>
      <c r="B15" s="96" t="n"/>
      <c r="C15" s="96" t="n"/>
      <c r="D15" s="96" t="n"/>
      <c r="E15" s="96" t="n"/>
      <c r="F15" s="96" t="n"/>
      <c r="G15" s="96" t="n"/>
      <c r="H15" s="96" t="n"/>
      <c r="I15" s="96" t="n"/>
      <c r="J15" s="67" t="inlineStr">
        <is>
          <t>Looke</t>
        </is>
      </c>
      <c r="K15" s="67" t="inlineStr">
        <is>
          <t>SVOD</t>
        </is>
      </c>
      <c r="L15" s="67" t="n">
        <v>8</v>
      </c>
      <c r="M15" s="96" t="n"/>
      <c r="N15" s="96" t="n"/>
      <c r="O15" s="96" t="n"/>
      <c r="P15" s="96" t="n"/>
    </row>
    <row r="16" ht="18" customHeight="1">
      <c r="A16" s="96" t="n"/>
      <c r="B16" s="96" t="n"/>
      <c r="C16" s="96" t="n"/>
      <c r="D16" s="96" t="n"/>
      <c r="E16" s="96" t="n"/>
      <c r="F16" s="96" t="n"/>
      <c r="G16" s="96" t="n"/>
      <c r="H16" s="96" t="n"/>
      <c r="I16" s="96" t="n"/>
      <c r="J16" s="65" t="inlineStr">
        <is>
          <t>Netflix</t>
        </is>
      </c>
      <c r="K16" s="65" t="inlineStr">
        <is>
          <t>SVOD</t>
        </is>
      </c>
      <c r="L16" s="65" t="n">
        <v>7</v>
      </c>
      <c r="M16" s="96" t="n"/>
      <c r="N16" s="96" t="n"/>
      <c r="O16" s="96" t="n"/>
      <c r="P16" s="96" t="n"/>
    </row>
    <row r="17" ht="18" customHeight="1">
      <c r="A17" s="96" t="n"/>
      <c r="B17" s="96" t="n"/>
      <c r="C17" s="96" t="n"/>
      <c r="D17" s="96" t="n"/>
      <c r="E17" s="96" t="n"/>
      <c r="F17" s="96" t="n"/>
      <c r="G17" s="96" t="n"/>
      <c r="H17" s="96" t="n"/>
      <c r="I17" s="96" t="n"/>
      <c r="J17" s="67" t="inlineStr">
        <is>
          <t>Reserva Imovision</t>
        </is>
      </c>
      <c r="K17" s="67" t="inlineStr">
        <is>
          <t>SVOD</t>
        </is>
      </c>
      <c r="L17" s="67" t="n">
        <v>5</v>
      </c>
      <c r="M17" s="96" t="n"/>
      <c r="N17" s="96" t="n"/>
      <c r="O17" s="96" t="n"/>
      <c r="P17" s="96" t="n"/>
    </row>
    <row r="18" ht="18" customHeight="1">
      <c r="A18" s="96" t="n"/>
      <c r="B18" s="96" t="n"/>
      <c r="C18" s="96" t="n"/>
      <c r="D18" s="96" t="n"/>
      <c r="E18" s="96" t="n"/>
      <c r="F18" s="96" t="n"/>
      <c r="G18" s="96" t="n"/>
      <c r="H18" s="96" t="n"/>
      <c r="I18" s="96" t="n"/>
      <c r="J18" s="65" t="inlineStr">
        <is>
          <t>GloboPlay</t>
        </is>
      </c>
      <c r="K18" s="65" t="inlineStr">
        <is>
          <t>SVOD</t>
        </is>
      </c>
      <c r="L18" s="65" t="n">
        <v>4</v>
      </c>
      <c r="M18" s="96" t="n"/>
      <c r="N18" s="96" t="n"/>
      <c r="O18" s="96" t="n"/>
      <c r="P18" s="96" t="n"/>
    </row>
    <row r="19" ht="18" customHeight="1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67" t="inlineStr">
        <is>
          <t>Canal Curta</t>
        </is>
      </c>
      <c r="K19" s="67" t="inlineStr">
        <is>
          <t>SVOD</t>
        </is>
      </c>
      <c r="L19" s="67" t="n">
        <v>2</v>
      </c>
      <c r="M19" s="96" t="n"/>
      <c r="N19" s="96" t="n"/>
      <c r="O19" s="96" t="n"/>
      <c r="P19" s="96" t="n"/>
    </row>
    <row r="20" ht="18" customHeight="1">
      <c r="A20" s="96" t="n"/>
      <c r="B20" s="96" t="n"/>
      <c r="C20" s="96" t="n"/>
      <c r="D20" s="96" t="n"/>
      <c r="E20" s="96" t="n"/>
      <c r="F20" s="96" t="n"/>
      <c r="G20" s="96" t="n"/>
      <c r="H20" s="96" t="n"/>
      <c r="I20" s="96" t="n"/>
      <c r="J20" s="65" t="inlineStr">
        <is>
          <t>Vix</t>
        </is>
      </c>
      <c r="K20" s="65" t="inlineStr">
        <is>
          <t>SVOD</t>
        </is>
      </c>
      <c r="L20" s="65" t="n">
        <v>1</v>
      </c>
      <c r="M20" s="96" t="n"/>
      <c r="N20" s="96" t="n"/>
      <c r="O20" s="96" t="n"/>
      <c r="P20" s="96" t="n"/>
    </row>
    <row r="21" ht="18" customHeight="1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67" t="inlineStr">
        <is>
          <t>Google Play Filmes</t>
        </is>
      </c>
      <c r="K21" s="67" t="inlineStr">
        <is>
          <t>TVOD</t>
        </is>
      </c>
      <c r="L21" s="67" t="n">
        <v>22</v>
      </c>
      <c r="M21" s="96" t="n"/>
      <c r="N21" s="96" t="n"/>
      <c r="O21" s="96" t="n"/>
      <c r="P21" s="96" t="n"/>
    </row>
    <row r="22" ht="18" customHeight="1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65" t="inlineStr">
        <is>
          <t>Apple TV</t>
        </is>
      </c>
      <c r="K22" s="65" t="inlineStr">
        <is>
          <t>TVOD</t>
        </is>
      </c>
      <c r="L22" s="65" t="n">
        <v>12</v>
      </c>
      <c r="M22" s="96" t="n"/>
      <c r="N22" s="96" t="n"/>
      <c r="O22" s="96" t="n"/>
      <c r="P22" s="96" t="n"/>
    </row>
    <row r="23" ht="18" customHeight="1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67" t="inlineStr">
        <is>
          <t>Amazon Prime Video</t>
        </is>
      </c>
      <c r="K23" s="67" t="inlineStr">
        <is>
          <t>TVOD</t>
        </is>
      </c>
      <c r="L23" s="67" t="n">
        <v>4</v>
      </c>
      <c r="M23" s="96" t="n"/>
      <c r="N23" s="96" t="n"/>
      <c r="O23" s="96" t="n"/>
      <c r="P23" s="96" t="n"/>
    </row>
    <row r="24" ht="18" customHeight="1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</row>
    <row r="25" ht="18" customHeight="1">
      <c r="A25" s="101" t="inlineStr">
        <is>
          <t>PONTO ANALÍTICO</t>
        </is>
      </c>
    </row>
    <row r="26" ht="18" customHeight="1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</row>
    <row r="27" ht="18" customHeight="1">
      <c r="A27" s="106" t="inlineStr">
        <is>
          <t>O dado mais relevante aqui não é apenas qual plataforma tem mais títulos: é a lacuna de circulação. O levantamento identificou 20 obras sem streaming, aluguel ou compra nas plataformas consultadas.</t>
        </is>
      </c>
    </row>
    <row r="28" ht="18" customHeight="1"/>
    <row r="29" ht="18" customHeight="1"/>
    <row r="30" ht="18" customHeight="1">
      <c r="A30" s="96" t="n"/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</row>
    <row r="31" ht="18" customHeight="1">
      <c r="A31" s="96" t="n"/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</row>
    <row r="32" ht="18" customHeight="1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</row>
    <row r="33" ht="18" customHeight="1">
      <c r="A33" s="96" t="n"/>
      <c r="B33" s="96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</row>
    <row r="34" ht="18" customHeight="1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</row>
    <row r="35" ht="18" customHeight="1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</row>
    <row r="36" ht="18" customHeight="1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</row>
    <row r="37" ht="18" customHeight="1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</row>
    <row r="38" ht="18" customHeight="1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</row>
    <row r="39" ht="18" customHeight="1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</row>
    <row r="40" ht="18" customHeight="1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</row>
    <row r="41" ht="18" customHeight="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</row>
    <row r="42" ht="20" customHeight="1">
      <c r="A42" s="104" t="inlineStr">
        <is>
          <t>Fonte: TCC, capítulo 2.2. A disponibilidade é histórica (set. 2023) e não deve ser apresentada como disponibilidade atual.</t>
        </is>
      </c>
    </row>
    <row r="43" ht="18" customHeight="1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</row>
    <row r="44" ht="18" customHeight="1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</row>
    <row r="45" ht="18" customHeight="1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</row>
    <row r="46" ht="18" customHeight="1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</row>
    <row r="47" ht="18" customHeight="1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</row>
    <row r="48" ht="18" customHeight="1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</row>
    <row r="49" ht="18" customHeight="1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</row>
    <row r="50" ht="18" customHeight="1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</row>
    <row r="51" ht="18" customHeight="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</row>
    <row r="52" ht="18" customHeight="1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</row>
    <row r="53" ht="18" customHeight="1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</row>
    <row r="54" ht="18" customHeight="1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</row>
    <row r="55" ht="18" customHeight="1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</row>
    <row r="56" hidden="1" ht="18" customHeight="1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</row>
    <row r="57" ht="21" customHeight="1"/>
    <row r="58" ht="21" customHeight="1"/>
    <row r="59" ht="21" customHeight="1"/>
  </sheetData>
  <mergeCells count="9">
    <mergeCell ref="A42:P42"/>
    <mergeCell ref="A27:P29"/>
    <mergeCell ref="I5:L8"/>
    <mergeCell ref="M5:P8"/>
    <mergeCell ref="A1:P1"/>
    <mergeCell ref="A3:P3"/>
    <mergeCell ref="A5:D8"/>
    <mergeCell ref="A25:P25"/>
    <mergeCell ref="E5:H8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J2" r:id="rId5"/>
    <hyperlink xmlns:r="http://schemas.openxmlformats.org/officeDocument/2006/relationships" ref="L2" r:id="rId6"/>
  </hyperlinks>
  <pageMargins left="0.2" right="0.2" top="0.35" bottom="0.35" header="0.1" footer="0.15"/>
  <pageSetup orientation="landscape" paperSize="9" fitToHeight="1" fitToWidth="1"/>
  <drawing xmlns:r="http://schemas.openxmlformats.org/officeDocument/2006/relationships" r:id="rId7"/>
</worksheet>
</file>

<file path=xl/worksheets/sheet15.xml><?xml version="1.0" encoding="utf-8"?>
<worksheet xmlns="http://schemas.openxmlformats.org/spreadsheetml/2006/main">
  <sheetPr>
    <outlinePr summaryBelow="0" summaryRight="1"/>
    <pageSetUpPr fitToPage="1"/>
  </sheetPr>
  <dimension ref="A1:P5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6" customWidth="1" min="5" max="5"/>
    <col width="15" customWidth="1" min="6" max="6"/>
    <col width="13" customWidth="1" min="7" max="7"/>
    <col width="4" customWidth="1" min="8" max="8"/>
    <col width="16" customWidth="1" min="9" max="9"/>
    <col width="15" customWidth="1" min="10" max="10"/>
    <col width="13" customWidth="1" min="11" max="11"/>
    <col width="13" customWidth="1" min="12" max="12"/>
    <col width="16" customWidth="1" min="13" max="13"/>
    <col width="15" customWidth="1" min="14" max="14"/>
    <col width="13" customWidth="1" min="15" max="15"/>
    <col width="13" customWidth="1" min="16" max="16"/>
  </cols>
  <sheetData>
    <row r="1" ht="28" customHeight="1">
      <c r="A1" s="94" t="inlineStr">
        <is>
          <t>GÊNEROS E REDES DE PRODUÇÃO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</row>
    <row r="2" ht="18" customHeight="1">
      <c r="A2" s="95" t="inlineStr">
        <is>
          <t>Visão Geral</t>
        </is>
      </c>
      <c r="B2" s="96" t="n"/>
      <c r="C2" s="95" t="inlineStr">
        <is>
          <t>Mercado</t>
        </is>
      </c>
      <c r="D2" s="96" t="n"/>
      <c r="E2" s="95" t="inlineStr">
        <is>
          <t>Distribuição</t>
        </is>
      </c>
      <c r="F2" s="96" t="n"/>
      <c r="G2" s="95" t="inlineStr">
        <is>
          <t>Gêneros &amp; Redes</t>
        </is>
      </c>
      <c r="H2" s="96" t="n"/>
      <c r="I2" s="96" t="n"/>
      <c r="J2" s="95" t="inlineStr">
        <is>
          <t>Insights</t>
        </is>
      </c>
      <c r="K2" s="96" t="n"/>
      <c r="L2" s="95" t="inlineStr">
        <is>
          <t>Modelo</t>
        </is>
      </c>
      <c r="M2" s="96" t="n"/>
      <c r="N2" s="96" t="n"/>
      <c r="O2" s="96" t="n"/>
      <c r="P2" s="96" t="n"/>
    </row>
    <row r="3" ht="22" customHeight="1">
      <c r="A3" s="97" t="inlineStr">
        <is>
          <t>CLASSIFICAÇÃO, PRODUTORAS E CONCENTRAÇÃO</t>
        </is>
      </c>
    </row>
    <row r="4" ht="18" customHeight="1">
      <c r="A4" s="96" t="n"/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</row>
    <row r="5" ht="54" customHeight="1">
      <c r="A5" s="99" t="inlineStr">
        <is>
          <t>33,1%
DRAMA
CLASSIFICAÇÃO DA PESQUISA</t>
        </is>
      </c>
      <c r="B5" s="55" t="n"/>
      <c r="C5" s="55" t="n"/>
      <c r="D5" s="55" t="n"/>
      <c r="E5" s="98" t="inlineStr">
        <is>
          <t>10,8%
COMÉDIA
CLASSIFICAÇÃO DA PESQUISA</t>
        </is>
      </c>
      <c r="F5" s="53" t="n"/>
      <c r="G5" s="53" t="n"/>
      <c r="H5" s="53" t="n"/>
      <c r="I5" s="105" t="inlineStr">
        <is>
          <t>5
TAIGA FILMES
MAIOR RECORRÊNCIA BRASILEIRA</t>
        </is>
      </c>
      <c r="J5" s="70" t="n"/>
      <c r="K5" s="70" t="n"/>
      <c r="L5" s="70" t="n"/>
      <c r="M5" s="98" t="inlineStr">
        <is>
          <t>5
CEPA AUDIOVISUAL
MAIOR RECORRÊNCIA ESTRANGEIRA</t>
        </is>
      </c>
      <c r="N5" s="53" t="n"/>
      <c r="O5" s="53" t="n"/>
      <c r="P5" s="53" t="n"/>
    </row>
    <row r="6" ht="18" customHeight="1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</row>
    <row r="7" ht="18" customHeight="1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</row>
    <row r="8" ht="18" customHeight="1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 ht="18" customHeight="1">
      <c r="A9" s="96" t="n"/>
      <c r="B9" s="96" t="n"/>
      <c r="C9" s="96" t="n"/>
      <c r="D9" s="96" t="n"/>
      <c r="E9" s="96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</row>
    <row r="10" ht="18" customHeight="1">
      <c r="A10" s="96" t="n"/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</row>
    <row r="11" ht="18" customHeight="1">
      <c r="A11" s="96" t="n"/>
      <c r="B11" s="96" t="n"/>
      <c r="C11" s="96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</row>
    <row r="12" ht="18" customHeight="1">
      <c r="A12" s="96" t="n"/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</row>
    <row r="13" ht="18" customHeight="1">
      <c r="A13" s="96" t="n"/>
      <c r="B13" s="96" t="n"/>
      <c r="C13" s="96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</row>
    <row r="14" ht="18" customHeight="1">
      <c r="A14" s="96" t="n"/>
      <c r="B14" s="96" t="n"/>
      <c r="C14" s="96" t="n"/>
      <c r="D14" s="96" t="n"/>
      <c r="E14" s="96" t="n"/>
      <c r="F14" s="96" t="n"/>
      <c r="G14" s="96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</row>
    <row r="15" ht="18" customHeight="1">
      <c r="A15" s="96" t="n"/>
      <c r="B15" s="96" t="n"/>
      <c r="C15" s="96" t="n"/>
      <c r="D15" s="96" t="n"/>
      <c r="E15" s="96" t="n"/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</row>
    <row r="16" ht="18" customHeight="1">
      <c r="A16" s="96" t="n"/>
      <c r="B16" s="96" t="n"/>
      <c r="C16" s="96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</row>
    <row r="17" ht="18" customHeight="1">
      <c r="A17" s="96" t="n"/>
      <c r="B17" s="96" t="n"/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</row>
    <row r="18" ht="18" customHeight="1">
      <c r="A18" s="96" t="n"/>
      <c r="B18" s="96" t="n"/>
      <c r="C18" s="96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</row>
    <row r="19" ht="18" customHeight="1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</row>
    <row r="20" ht="18" customHeight="1">
      <c r="A20" s="96" t="n"/>
      <c r="B20" s="96" t="n"/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</row>
    <row r="21" ht="18" customHeight="1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</row>
    <row r="22" ht="18" customHeight="1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</row>
    <row r="23" ht="18" customHeight="1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</row>
    <row r="24" ht="18" customHeight="1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</row>
    <row r="25" ht="18" customHeight="1">
      <c r="A25" s="101" t="inlineStr">
        <is>
          <t>OFICIAL × PESQUISA</t>
        </is>
      </c>
    </row>
    <row r="26" ht="18" customHeight="1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</row>
    <row r="27" ht="18" customHeight="1">
      <c r="A27" s="106" t="inlineStr">
        <is>
          <t>ANCINE
Ficção — 96,2%
Documentário — 3,8%</t>
        </is>
      </c>
      <c r="I27" s="106" t="inlineStr">
        <is>
          <t>PESQUISA
Drama — 33,1%
Comédia — 10,8%
Romance — 8,5%
Suspense — 7,7%</t>
        </is>
      </c>
    </row>
    <row r="28" ht="18" customHeight="1"/>
    <row r="29" ht="18" customHeight="1"/>
    <row r="30" ht="18" customHeight="1"/>
    <row r="31" ht="18" customHeight="1"/>
    <row r="32" ht="18" customHeight="1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</row>
    <row r="33" ht="18" customHeight="1">
      <c r="A33" s="96" t="n"/>
      <c r="B33" s="96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</row>
    <row r="34" ht="18" customHeight="1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</row>
    <row r="35" ht="18" customHeight="1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</row>
    <row r="36" ht="18" customHeight="1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</row>
    <row r="37" ht="18" customHeight="1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</row>
    <row r="38" ht="18" customHeight="1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</row>
    <row r="39" ht="18" customHeight="1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</row>
    <row r="40" ht="18" customHeight="1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</row>
    <row r="41" ht="18" customHeight="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</row>
    <row r="42" ht="20" customHeight="1">
      <c r="A42" s="104" t="inlineStr">
        <is>
          <t>Fonte: TCC, Quadro 08 e Gráficos 02–03. O TCC apresenta 96,2% no gráfico de classificação Ancine; o texto também menciona 96,8%, divergência preservada.</t>
        </is>
      </c>
    </row>
    <row r="43" ht="18" customHeight="1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</row>
    <row r="44" ht="18" customHeight="1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</row>
    <row r="45" ht="18" customHeight="1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</row>
    <row r="46" ht="18" customHeight="1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</row>
    <row r="47" ht="18" customHeight="1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</row>
    <row r="48" ht="18" customHeight="1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</row>
    <row r="49" ht="18" customHeight="1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</row>
    <row r="50" ht="18" customHeight="1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</row>
    <row r="51" ht="18" customHeight="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</row>
    <row r="52" ht="18" customHeight="1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</row>
    <row r="53" ht="18" customHeight="1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</row>
    <row r="54" ht="18" customHeight="1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</row>
    <row r="55" ht="18" customHeight="1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</row>
    <row r="56" hidden="1" ht="18" customHeight="1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</row>
    <row r="57" ht="21" customHeight="1"/>
    <row r="58" ht="21" customHeight="1"/>
    <row r="59" ht="21" customHeight="1"/>
  </sheetData>
  <mergeCells count="10">
    <mergeCell ref="A42:P42"/>
    <mergeCell ref="A27:H31"/>
    <mergeCell ref="I5:L8"/>
    <mergeCell ref="M5:P8"/>
    <mergeCell ref="A1:P1"/>
    <mergeCell ref="E5:H8"/>
    <mergeCell ref="A3:P3"/>
    <mergeCell ref="I27:P31"/>
    <mergeCell ref="A5:D8"/>
    <mergeCell ref="A25:P25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J2" r:id="rId5"/>
    <hyperlink xmlns:r="http://schemas.openxmlformats.org/officeDocument/2006/relationships" ref="L2" r:id="rId6"/>
  </hyperlinks>
  <pageMargins left="0.2" right="0.2" top="0.35" bottom="0.35" header="0.1" footer="0.15"/>
  <pageSetup orientation="landscape" paperSize="9" fitToHeight="1" fitToWidth="1"/>
  <drawing xmlns:r="http://schemas.openxmlformats.org/officeDocument/2006/relationships" r:id="rId7"/>
</worksheet>
</file>

<file path=xl/worksheets/sheet16.xml><?xml version="1.0" encoding="utf-8"?>
<worksheet xmlns="http://schemas.openxmlformats.org/spreadsheetml/2006/main">
  <sheetPr>
    <outlinePr summaryBelow="0" summaryRight="1"/>
    <pageSetUpPr fitToPage="1"/>
  </sheetPr>
  <dimension ref="A1:P5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6" customWidth="1" min="5" max="5"/>
    <col width="15" customWidth="1" min="6" max="6"/>
    <col width="13" customWidth="1" min="7" max="7"/>
    <col width="4" customWidth="1" min="8" max="8"/>
    <col width="16" customWidth="1" min="9" max="9"/>
    <col width="15" customWidth="1" min="10" max="10"/>
    <col width="13" customWidth="1" min="11" max="11"/>
    <col width="13" customWidth="1" min="12" max="12"/>
    <col width="16" customWidth="1" min="13" max="13"/>
    <col width="15" customWidth="1" min="14" max="14"/>
    <col width="13" customWidth="1" min="15" max="15"/>
    <col width="13" customWidth="1" min="16" max="16"/>
  </cols>
  <sheetData>
    <row r="1" ht="28" customHeight="1">
      <c r="A1" s="94" t="inlineStr">
        <is>
          <t>INSIGHTS E LIMITAÇÕES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</row>
    <row r="2" ht="18" customHeight="1">
      <c r="A2" s="95" t="inlineStr">
        <is>
          <t>Visão Geral</t>
        </is>
      </c>
      <c r="B2" s="96" t="n"/>
      <c r="C2" s="95" t="inlineStr">
        <is>
          <t>Mercado</t>
        </is>
      </c>
      <c r="D2" s="96" t="n"/>
      <c r="E2" s="95" t="inlineStr">
        <is>
          <t>Distribuição</t>
        </is>
      </c>
      <c r="F2" s="96" t="n"/>
      <c r="G2" s="95" t="inlineStr">
        <is>
          <t>Gêneros &amp; Redes</t>
        </is>
      </c>
      <c r="H2" s="96" t="n"/>
      <c r="I2" s="96" t="n"/>
      <c r="J2" s="95" t="inlineStr">
        <is>
          <t>Insights</t>
        </is>
      </c>
      <c r="K2" s="96" t="n"/>
      <c r="L2" s="95" t="inlineStr">
        <is>
          <t>Modelo</t>
        </is>
      </c>
      <c r="M2" s="96" t="n"/>
      <c r="N2" s="96" t="n"/>
      <c r="O2" s="96" t="n"/>
      <c r="P2" s="96" t="n"/>
    </row>
    <row r="3" ht="22" customHeight="1">
      <c r="A3" s="97" t="inlineStr">
        <is>
          <t>O QUE OS DADOS PERMITEM AFIRMAR — E O QUE NÃO PERMITEM</t>
        </is>
      </c>
    </row>
    <row r="4" ht="18" customHeight="1">
      <c r="A4" s="96" t="n"/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</row>
    <row r="5" ht="54" customHeight="1">
      <c r="A5" s="72" t="inlineStr">
        <is>
          <t>01  PRODUÇÃO
2021 é o pico do recorte, com 10 coproduções; 2015 é o mínimo, com 1.</t>
        </is>
      </c>
      <c r="B5" s="73" t="n"/>
      <c r="C5" s="73" t="n"/>
      <c r="D5" s="73" t="n"/>
      <c r="E5" s="73" t="n"/>
      <c r="F5" s="73" t="n"/>
      <c r="G5" s="73" t="n"/>
      <c r="H5" s="73" t="n"/>
      <c r="I5" s="72" t="inlineStr">
        <is>
          <t>02  ESTRUTURA
36 das 53 obras são coproduções minoritárias brasileiras.</t>
        </is>
      </c>
      <c r="J5" s="73" t="n"/>
      <c r="K5" s="73" t="n"/>
      <c r="L5" s="73" t="n"/>
      <c r="M5" s="73" t="n"/>
      <c r="N5" s="73" t="n"/>
      <c r="O5" s="73" t="n"/>
      <c r="P5" s="73" t="n"/>
    </row>
    <row r="6" ht="18" customHeight="1">
      <c r="A6" s="73" t="n"/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</row>
    <row r="7" ht="18" customHeight="1">
      <c r="A7" s="73" t="n"/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</row>
    <row r="8" ht="18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</row>
    <row r="9" ht="18" customHeight="1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</row>
    <row r="10" ht="18" customHeight="1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</row>
    <row r="11" ht="18" customHeight="1">
      <c r="A11" s="96" t="n"/>
      <c r="B11" s="96" t="n"/>
      <c r="C11" s="96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</row>
    <row r="12" ht="18" customHeight="1">
      <c r="A12" s="72" t="inlineStr">
        <is>
          <t>03  MERCADO
Divã A 2 lidera o ranking brasileiro com 164.589 espectadores.</t>
        </is>
      </c>
      <c r="B12" s="73" t="n"/>
      <c r="C12" s="73" t="n"/>
      <c r="D12" s="73" t="n"/>
      <c r="E12" s="73" t="n"/>
      <c r="F12" s="73" t="n"/>
      <c r="G12" s="73" t="n"/>
      <c r="H12" s="73" t="n"/>
      <c r="I12" s="72" t="inlineStr">
        <is>
          <t>04  CIRCULAÇÃO
O Mistério da Felicidade aparece com 612.922 espectadores na Argentina no Quadro 02.</t>
        </is>
      </c>
      <c r="J12" s="73" t="n"/>
      <c r="K12" s="73" t="n"/>
      <c r="L12" s="73" t="n"/>
      <c r="M12" s="73" t="n"/>
      <c r="N12" s="73" t="n"/>
      <c r="O12" s="73" t="n"/>
      <c r="P12" s="73" t="n"/>
    </row>
    <row r="13" ht="18" customHeight="1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</row>
    <row r="14" ht="18" customHeight="1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</row>
    <row r="15" ht="18" customHeight="1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</row>
    <row r="16" ht="18" customHeight="1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</row>
    <row r="17" ht="18" customHeight="1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</row>
    <row r="18" ht="18" customHeight="1">
      <c r="A18" s="96" t="n"/>
      <c r="B18" s="96" t="n"/>
      <c r="C18" s="96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</row>
    <row r="19" ht="18" customHeight="1">
      <c r="A19" s="72" t="inlineStr">
        <is>
          <t>05  DISTRIBUIÇÃO
20 das 53 obras não tinham disponibilidade identificada no levantamento de 2023.</t>
        </is>
      </c>
      <c r="B19" s="73" t="n"/>
      <c r="C19" s="73" t="n"/>
      <c r="D19" s="73" t="n"/>
      <c r="E19" s="73" t="n"/>
      <c r="F19" s="73" t="n"/>
      <c r="G19" s="73" t="n"/>
      <c r="H19" s="73" t="n"/>
      <c r="I19" s="72" t="inlineStr">
        <is>
          <t>06  GÊNERO
A classificação detalhada da pesquisa revela uma diversidade que a categoria ampla de ficção não mostra.</t>
        </is>
      </c>
      <c r="J19" s="73" t="n"/>
      <c r="K19" s="73" t="n"/>
      <c r="L19" s="73" t="n"/>
      <c r="M19" s="73" t="n"/>
      <c r="N19" s="73" t="n"/>
      <c r="O19" s="73" t="n"/>
      <c r="P19" s="73" t="n"/>
    </row>
    <row r="20" ht="18" customHeight="1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</row>
    <row r="21" ht="18" customHeight="1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</row>
    <row r="22" ht="18" customHeight="1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</row>
    <row r="23" ht="18" customHeight="1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</row>
    <row r="24" ht="18" customHeight="1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</row>
    <row r="25" ht="18" customHeight="1">
      <c r="A25" s="96" t="n"/>
      <c r="B25" s="96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</row>
    <row r="26" ht="18" customHeight="1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</row>
    <row r="27" ht="18" customHeight="1">
      <c r="A27" s="101" t="inlineStr">
        <is>
          <t>LIMITAÇÕES</t>
        </is>
      </c>
    </row>
    <row r="28" ht="18" customHeight="1">
      <c r="A28" s="96" t="n"/>
      <c r="B28" s="96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</row>
    <row r="29" ht="18" customHeight="1">
      <c r="A29" s="107" t="inlineStr">
        <is>
          <t>• Disponibilidade digital: retrato do levantamento de setembro de 2023.
• Dados de circulação internacional possuem lacunas em alguns anos.
• A série de coproduções é descritiva e não demonstra causalidade.
• Entrevistas com produtoras são evidência qualitativa, não amostra estatística.
• Algumas classificações de gênero foram consolidadas pela pesquisa a partir de múltiplas bases.</t>
        </is>
      </c>
    </row>
    <row r="30" ht="18" customHeight="1"/>
    <row r="31" ht="18" customHeight="1"/>
    <row r="32" ht="18" customHeight="1"/>
    <row r="33" ht="18" customHeight="1"/>
    <row r="34" ht="18" customHeight="1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</row>
    <row r="35" ht="18" customHeight="1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</row>
    <row r="36" ht="18" customHeight="1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</row>
    <row r="37" ht="18" customHeight="1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</row>
    <row r="38" ht="18" customHeight="1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</row>
    <row r="39" ht="18" customHeight="1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</row>
    <row r="40" ht="18" customHeight="1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</row>
    <row r="41" ht="18" customHeight="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</row>
    <row r="42" ht="20" customHeight="1">
      <c r="A42" s="104" t="inlineStr">
        <is>
          <t>A transparência metodológica é parte do case: indicadores precisam carregar sua fonte, recorte temporal e limitação.</t>
        </is>
      </c>
    </row>
    <row r="43" ht="18" customHeight="1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</row>
    <row r="44" ht="18" customHeight="1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</row>
    <row r="45" ht="18" customHeight="1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</row>
    <row r="46" ht="18" customHeight="1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</row>
    <row r="47" ht="18" customHeight="1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</row>
    <row r="48" ht="18" customHeight="1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</row>
    <row r="49" ht="18" customHeight="1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</row>
    <row r="50" ht="18" customHeight="1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</row>
    <row r="51" ht="18" customHeight="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</row>
    <row r="52" ht="18" customHeight="1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</row>
    <row r="53" ht="18" customHeight="1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</row>
    <row r="54" ht="18" customHeight="1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</row>
    <row r="55" ht="18" customHeight="1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</row>
    <row r="56" hidden="1" ht="18" customHeight="1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</row>
    <row r="57" ht="21" customHeight="1"/>
    <row r="58" ht="21" customHeight="1"/>
    <row r="59" ht="21" customHeight="1"/>
  </sheetData>
  <mergeCells count="11">
    <mergeCell ref="I12:P17"/>
    <mergeCell ref="A42:P42"/>
    <mergeCell ref="A1:P1"/>
    <mergeCell ref="A27:P27"/>
    <mergeCell ref="I19:P24"/>
    <mergeCell ref="A19:H24"/>
    <mergeCell ref="A29:P33"/>
    <mergeCell ref="A5:H10"/>
    <mergeCell ref="A3:P3"/>
    <mergeCell ref="I5:P10"/>
    <mergeCell ref="A12:H17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J2" r:id="rId5"/>
    <hyperlink xmlns:r="http://schemas.openxmlformats.org/officeDocument/2006/relationships" ref="L2" r:id="rId6"/>
  </hyperlinks>
  <pageMargins left="0.2" right="0.2" top="0.35" bottom="0.35" header="0.1" footer="0.1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0" summaryRight="1"/>
    <pageSetUpPr fitToPage="1"/>
  </sheetPr>
  <dimension ref="A1:P5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6" customWidth="1" min="5" max="5"/>
    <col width="15" customWidth="1" min="6" max="6"/>
    <col width="13" customWidth="1" min="7" max="7"/>
    <col width="4" customWidth="1" min="8" max="8"/>
    <col width="16" customWidth="1" min="9" max="9"/>
    <col width="15" customWidth="1" min="10" max="10"/>
    <col width="13" customWidth="1" min="11" max="11"/>
    <col width="13" customWidth="1" min="12" max="12"/>
    <col width="16" customWidth="1" min="13" max="13"/>
    <col width="15" customWidth="1" min="14" max="14"/>
    <col width="13" customWidth="1" min="15" max="15"/>
    <col width="13" customWidth="1" min="16" max="16"/>
  </cols>
  <sheetData>
    <row r="1" ht="28" customHeight="1">
      <c r="A1" s="94" t="inlineStr">
        <is>
          <t>MODELO ANALÍTICO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</row>
    <row r="2" ht="18" customHeight="1">
      <c r="A2" s="95" t="inlineStr">
        <is>
          <t>Visão Geral</t>
        </is>
      </c>
      <c r="B2" s="96" t="n"/>
      <c r="C2" s="95" t="inlineStr">
        <is>
          <t>Mercado</t>
        </is>
      </c>
      <c r="D2" s="96" t="n"/>
      <c r="E2" s="95" t="inlineStr">
        <is>
          <t>Distribuição</t>
        </is>
      </c>
      <c r="F2" s="96" t="n"/>
      <c r="G2" s="95" t="inlineStr">
        <is>
          <t>Gêneros &amp; Redes</t>
        </is>
      </c>
      <c r="H2" s="96" t="n"/>
      <c r="I2" s="96" t="n"/>
      <c r="J2" s="95" t="inlineStr">
        <is>
          <t>Insights</t>
        </is>
      </c>
      <c r="K2" s="96" t="n"/>
      <c r="L2" s="95" t="inlineStr">
        <is>
          <t>Modelo</t>
        </is>
      </c>
      <c r="M2" s="96" t="n"/>
      <c r="N2" s="96" t="n"/>
      <c r="O2" s="96" t="n"/>
      <c r="P2" s="96" t="n"/>
    </row>
    <row r="3" ht="22" customHeight="1">
      <c r="A3" s="97" t="inlineStr">
        <is>
          <t>COMO O CASE PODE SER ESTRUTURADO EM POWER BI</t>
        </is>
      </c>
    </row>
    <row r="4" ht="18" customHeight="1">
      <c r="A4" s="96" t="n"/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</row>
    <row r="5" ht="54" customHeight="1">
      <c r="A5" s="96" t="n"/>
      <c r="B5" s="96" t="n"/>
      <c r="C5" s="96" t="n"/>
      <c r="D5" s="96" t="n"/>
      <c r="E5" s="96" t="n"/>
      <c r="F5" s="96" t="n"/>
      <c r="G5" s="96" t="n"/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</row>
    <row r="6" ht="18" customHeight="1">
      <c r="A6" s="96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</row>
    <row r="7" ht="18" customHeight="1">
      <c r="A7" s="75" t="inlineStr">
        <is>
          <t>DIM_TEMPO
Ano</t>
        </is>
      </c>
      <c r="B7" s="73" t="n"/>
      <c r="C7" s="73" t="n"/>
      <c r="D7" s="73" t="n"/>
      <c r="E7" s="73" t="n"/>
      <c r="F7" s="75" t="inlineStr">
        <is>
          <t>DIM_FILME
Título • tipo • ano</t>
        </is>
      </c>
      <c r="G7" s="73" t="n"/>
      <c r="H7" s="73" t="n"/>
      <c r="I7" s="73" t="n"/>
      <c r="J7" s="73" t="n"/>
      <c r="K7" s="75" t="inlineStr">
        <is>
          <t>DIM_PAÍS
País • participação</t>
        </is>
      </c>
      <c r="L7" s="73" t="n"/>
      <c r="M7" s="73" t="n"/>
      <c r="N7" s="73" t="n"/>
      <c r="O7" s="73" t="n"/>
      <c r="P7" s="73" t="n"/>
    </row>
    <row r="8" ht="18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</row>
    <row r="9" ht="18" customHeight="1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</row>
    <row r="10" ht="18" customHeight="1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</row>
    <row r="11" ht="18" customHeight="1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</row>
    <row r="12" ht="18" customHeight="1">
      <c r="A12" s="96" t="n"/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</row>
    <row r="13" ht="18" customHeight="1">
      <c r="A13" s="96" t="n"/>
      <c r="B13" s="96" t="n"/>
      <c r="C13" s="96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</row>
    <row r="14" ht="18" customHeight="1">
      <c r="A14" s="75" t="inlineStr">
        <is>
          <t>DIM_GÊNERO
Gênero oficial • pesquisa</t>
        </is>
      </c>
      <c r="B14" s="73" t="n"/>
      <c r="C14" s="73" t="n"/>
      <c r="D14" s="73" t="n"/>
      <c r="E14" s="73" t="n"/>
      <c r="F14" s="75" t="inlineStr">
        <is>
          <t>FATO_MERCADO
Público • renda • salas</t>
        </is>
      </c>
      <c r="G14" s="73" t="n"/>
      <c r="H14" s="73" t="n"/>
      <c r="I14" s="73" t="n"/>
      <c r="J14" s="73" t="n"/>
      <c r="K14" s="75" t="inlineStr">
        <is>
          <t>FATO_DISTRIBUIÇÃO
Plataforma • modalidade • disponibilidade</t>
        </is>
      </c>
      <c r="L14" s="73" t="n"/>
      <c r="M14" s="73" t="n"/>
      <c r="N14" s="73" t="n"/>
      <c r="O14" s="73" t="n"/>
      <c r="P14" s="73" t="n"/>
    </row>
    <row r="15" ht="18" customHeight="1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</row>
    <row r="16" ht="18" customHeight="1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</row>
    <row r="17" ht="18" customHeight="1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</row>
    <row r="18" ht="18" customHeight="1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</row>
    <row r="19" ht="18" customHeight="1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</row>
    <row r="20" ht="18" customHeight="1">
      <c r="A20" s="96" t="n"/>
      <c r="B20" s="96" t="n"/>
      <c r="C20" s="96" t="n"/>
      <c r="D20" s="96" t="n"/>
      <c r="E20" s="96" t="n"/>
      <c r="F20" s="75" t="inlineStr">
        <is>
          <t>DIM_PRODUTORA
Produtora • origem</t>
        </is>
      </c>
      <c r="G20" s="73" t="n"/>
      <c r="H20" s="73" t="n"/>
      <c r="I20" s="73" t="n"/>
      <c r="J20" s="73" t="n"/>
      <c r="K20" s="96" t="n"/>
      <c r="L20" s="96" t="n"/>
      <c r="M20" s="96" t="n"/>
      <c r="N20" s="96" t="n"/>
      <c r="O20" s="96" t="n"/>
      <c r="P20" s="96" t="n"/>
    </row>
    <row r="21" ht="18" customHeight="1">
      <c r="A21" s="96" t="n"/>
      <c r="B21" s="96" t="n"/>
      <c r="C21" s="96" t="n"/>
      <c r="D21" s="96" t="n"/>
      <c r="E21" s="96" t="n"/>
      <c r="F21" s="73" t="n"/>
      <c r="G21" s="73" t="n"/>
      <c r="H21" s="73" t="n"/>
      <c r="I21" s="73" t="n"/>
      <c r="J21" s="73" t="n"/>
      <c r="K21" s="96" t="n"/>
      <c r="L21" s="96" t="n"/>
      <c r="M21" s="96" t="n"/>
      <c r="N21" s="96" t="n"/>
      <c r="O21" s="96" t="n"/>
      <c r="P21" s="96" t="n"/>
    </row>
    <row r="22" ht="18" customHeight="1">
      <c r="A22" s="96" t="n"/>
      <c r="B22" s="96" t="n"/>
      <c r="C22" s="96" t="n"/>
      <c r="D22" s="96" t="n"/>
      <c r="E22" s="96" t="n"/>
      <c r="F22" s="73" t="n"/>
      <c r="G22" s="73" t="n"/>
      <c r="H22" s="73" t="n"/>
      <c r="I22" s="73" t="n"/>
      <c r="J22" s="73" t="n"/>
      <c r="K22" s="96" t="n"/>
      <c r="L22" s="96" t="n"/>
      <c r="M22" s="96" t="n"/>
      <c r="N22" s="96" t="n"/>
      <c r="O22" s="96" t="n"/>
      <c r="P22" s="96" t="n"/>
    </row>
    <row r="23" ht="18" customHeight="1">
      <c r="A23" s="96" t="n"/>
      <c r="B23" s="96" t="n"/>
      <c r="C23" s="96" t="n"/>
      <c r="D23" s="96" t="n"/>
      <c r="E23" s="96" t="n"/>
      <c r="F23" s="73" t="n"/>
      <c r="G23" s="73" t="n"/>
      <c r="H23" s="73" t="n"/>
      <c r="I23" s="73" t="n"/>
      <c r="J23" s="73" t="n"/>
      <c r="K23" s="96" t="n"/>
      <c r="L23" s="96" t="n"/>
      <c r="M23" s="96" t="n"/>
      <c r="N23" s="96" t="n"/>
      <c r="O23" s="96" t="n"/>
      <c r="P23" s="96" t="n"/>
    </row>
    <row r="24" ht="18" customHeight="1">
      <c r="A24" s="96" t="n"/>
      <c r="B24" s="96" t="n"/>
      <c r="C24" s="96" t="n"/>
      <c r="D24" s="96" t="n"/>
      <c r="E24" s="96" t="n"/>
      <c r="F24" s="73" t="n"/>
      <c r="G24" s="73" t="n"/>
      <c r="H24" s="73" t="n"/>
      <c r="I24" s="73" t="n"/>
      <c r="J24" s="73" t="n"/>
      <c r="K24" s="96" t="n"/>
      <c r="L24" s="96" t="n"/>
      <c r="M24" s="96" t="n"/>
      <c r="N24" s="96" t="n"/>
      <c r="O24" s="96" t="n"/>
      <c r="P24" s="96" t="n"/>
    </row>
    <row r="25" ht="18" customHeight="1">
      <c r="A25" s="96" t="n"/>
      <c r="B25" s="96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</row>
    <row r="26" ht="18" customHeight="1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</row>
    <row r="27" ht="18" customHeight="1">
      <c r="A27" s="108" t="inlineStr">
        <is>
          <t>LÓGICA
A implementação final em Power BI pode separar dimensões (tempo, filme, país, gênero e produtora) das tabelas de fatos (mercado e distribuição). Isso permite medidas reutilizáveis, filtros consistentes e expansão futura do case.</t>
        </is>
      </c>
    </row>
    <row r="28" ht="18" customHeight="1"/>
    <row r="29" ht="18" customHeight="1"/>
    <row r="30" ht="18" customHeight="1"/>
    <row r="31" ht="18" customHeight="1">
      <c r="A31" s="96" t="n"/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</row>
    <row r="32" ht="18" customHeight="1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</row>
    <row r="33" ht="18" customHeight="1">
      <c r="A33" s="101" t="inlineStr">
        <is>
          <t>MEDIDAS QUE FAZEM SENTIDO NO CASE</t>
        </is>
      </c>
    </row>
    <row r="34" ht="18" customHeight="1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</row>
    <row r="35" ht="18" customHeight="1">
      <c r="A35" s="78" t="inlineStr">
        <is>
          <t>Total de coproduções</t>
        </is>
      </c>
      <c r="B35" s="73" t="n"/>
      <c r="C35" s="73" t="n"/>
      <c r="D35" s="96" t="n"/>
      <c r="E35" s="78" t="inlineStr">
        <is>
          <t>% majoritárias</t>
        </is>
      </c>
      <c r="F35" s="73" t="n"/>
      <c r="G35" s="73" t="n"/>
      <c r="H35" s="96" t="n"/>
      <c r="I35" s="78" t="inlineStr">
        <is>
          <t>% minoritárias</t>
        </is>
      </c>
      <c r="J35" s="73" t="n"/>
      <c r="K35" s="73" t="n"/>
      <c r="L35" s="96" t="n"/>
      <c r="M35" s="78" t="inlineStr">
        <is>
          <t>Público total</t>
        </is>
      </c>
      <c r="N35" s="73" t="n"/>
      <c r="O35" s="73" t="n"/>
      <c r="P35" s="96" t="n"/>
    </row>
    <row r="36" ht="18" customHeight="1">
      <c r="A36" s="73" t="n"/>
      <c r="B36" s="73" t="n"/>
      <c r="C36" s="73" t="n"/>
      <c r="D36" s="96" t="n"/>
      <c r="E36" s="73" t="n"/>
      <c r="F36" s="73" t="n"/>
      <c r="G36" s="73" t="n"/>
      <c r="H36" s="96" t="n"/>
      <c r="I36" s="73" t="n"/>
      <c r="J36" s="73" t="n"/>
      <c r="K36" s="73" t="n"/>
      <c r="L36" s="96" t="n"/>
      <c r="M36" s="73" t="n"/>
      <c r="N36" s="73" t="n"/>
      <c r="O36" s="73" t="n"/>
      <c r="P36" s="96" t="n"/>
    </row>
    <row r="37" ht="18" customHeight="1">
      <c r="A37" s="73" t="n"/>
      <c r="B37" s="73" t="n"/>
      <c r="C37" s="73" t="n"/>
      <c r="D37" s="96" t="n"/>
      <c r="E37" s="73" t="n"/>
      <c r="F37" s="73" t="n"/>
      <c r="G37" s="73" t="n"/>
      <c r="H37" s="96" t="n"/>
      <c r="I37" s="73" t="n"/>
      <c r="J37" s="73" t="n"/>
      <c r="K37" s="73" t="n"/>
      <c r="L37" s="96" t="n"/>
      <c r="M37" s="73" t="n"/>
      <c r="N37" s="73" t="n"/>
      <c r="O37" s="73" t="n"/>
      <c r="P37" s="96" t="n"/>
    </row>
    <row r="38" ht="18" customHeight="1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</row>
    <row r="39" ht="18" customHeight="1">
      <c r="A39" s="78" t="inlineStr">
        <is>
          <t>Renda total</t>
        </is>
      </c>
      <c r="B39" s="73" t="n"/>
      <c r="C39" s="73" t="n"/>
      <c r="D39" s="96" t="n"/>
      <c r="E39" s="78" t="inlineStr">
        <is>
          <t>Média de público por filme</t>
        </is>
      </c>
      <c r="F39" s="73" t="n"/>
      <c r="G39" s="73" t="n"/>
      <c r="H39" s="96" t="n"/>
      <c r="I39" s="78" t="inlineStr">
        <is>
          <t>Obras com disponibilidade</t>
        </is>
      </c>
      <c r="J39" s="73" t="n"/>
      <c r="K39" s="73" t="n"/>
      <c r="L39" s="96" t="n"/>
      <c r="M39" s="78" t="inlineStr">
        <is>
          <t>% sem disponibilidade</t>
        </is>
      </c>
      <c r="N39" s="73" t="n"/>
      <c r="O39" s="73" t="n"/>
      <c r="P39" s="96" t="n"/>
    </row>
    <row r="40" ht="18" customHeight="1">
      <c r="A40" s="73" t="n"/>
      <c r="B40" s="73" t="n"/>
      <c r="C40" s="73" t="n"/>
      <c r="D40" s="96" t="n"/>
      <c r="E40" s="73" t="n"/>
      <c r="F40" s="73" t="n"/>
      <c r="G40" s="73" t="n"/>
      <c r="H40" s="96" t="n"/>
      <c r="I40" s="73" t="n"/>
      <c r="J40" s="73" t="n"/>
      <c r="K40" s="73" t="n"/>
      <c r="L40" s="96" t="n"/>
      <c r="M40" s="73" t="n"/>
      <c r="N40" s="73" t="n"/>
      <c r="O40" s="73" t="n"/>
      <c r="P40" s="96" t="n"/>
    </row>
    <row r="41" ht="18" customHeight="1">
      <c r="A41" s="73" t="n"/>
      <c r="B41" s="73" t="n"/>
      <c r="C41" s="73" t="n"/>
      <c r="D41" s="96" t="n"/>
      <c r="E41" s="73" t="n"/>
      <c r="F41" s="73" t="n"/>
      <c r="G41" s="73" t="n"/>
      <c r="H41" s="96" t="n"/>
      <c r="I41" s="73" t="n"/>
      <c r="J41" s="73" t="n"/>
      <c r="K41" s="73" t="n"/>
      <c r="L41" s="96" t="n"/>
      <c r="M41" s="73" t="n"/>
      <c r="N41" s="73" t="n"/>
      <c r="O41" s="73" t="n"/>
      <c r="P41" s="96" t="n"/>
    </row>
    <row r="42" ht="20" customHeight="1">
      <c r="A42" s="104" t="inlineStr">
        <is>
          <t>Esta página documenta a arquitetura analítica do case; não afirma que o TCC original tenha sido construído com Power BI.</t>
        </is>
      </c>
    </row>
    <row r="43" ht="18" customHeight="1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</row>
    <row r="44" ht="18" customHeight="1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</row>
    <row r="45" ht="18" customHeight="1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</row>
    <row r="46" ht="18" customHeight="1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</row>
    <row r="47" ht="18" customHeight="1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</row>
    <row r="48" ht="18" customHeight="1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</row>
    <row r="49" ht="18" customHeight="1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</row>
    <row r="50" ht="18" customHeight="1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</row>
    <row r="51" ht="18" customHeight="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</row>
    <row r="52" ht="18" customHeight="1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</row>
    <row r="53" ht="18" customHeight="1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</row>
    <row r="54" ht="18" customHeight="1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</row>
    <row r="55" ht="18" customHeight="1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</row>
    <row r="56" hidden="1" ht="18" customHeight="1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</row>
    <row r="57" ht="21" customHeight="1"/>
    <row r="58" ht="21" customHeight="1"/>
    <row r="59" ht="21" customHeight="1"/>
  </sheetData>
  <mergeCells count="20">
    <mergeCell ref="A42:P42"/>
    <mergeCell ref="M35:O37"/>
    <mergeCell ref="E35:G37"/>
    <mergeCell ref="F7:J11"/>
    <mergeCell ref="A7:E11"/>
    <mergeCell ref="I39:K41"/>
    <mergeCell ref="F20:J24"/>
    <mergeCell ref="K14:P18"/>
    <mergeCell ref="A27:P30"/>
    <mergeCell ref="K7:P11"/>
    <mergeCell ref="A1:P1"/>
    <mergeCell ref="I35:K37"/>
    <mergeCell ref="A35:C37"/>
    <mergeCell ref="A39:C41"/>
    <mergeCell ref="E39:G41"/>
    <mergeCell ref="A14:E18"/>
    <mergeCell ref="M39:O41"/>
    <mergeCell ref="A3:P3"/>
    <mergeCell ref="F14:J18"/>
    <mergeCell ref="A33:P33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J2" r:id="rId5"/>
    <hyperlink xmlns:r="http://schemas.openxmlformats.org/officeDocument/2006/relationships" ref="L2" r:id="rId6"/>
  </hyperlinks>
  <pageMargins left="0.2" right="0.2" top="0.35" bottom="0.35" header="0.1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2026-08-13T13:00:50Z</dcterms:created>
  <dcterms:modified xmlns:dcterms="http://purl.org/dc/terms/" xmlns:xsi="http://www.w3.org/2001/XMLSchema-instance" xsi:type="dcterms:W3CDTF">2026-08-13T13:54:07Z</dcterms:modified>
</cp:coreProperties>
</file>